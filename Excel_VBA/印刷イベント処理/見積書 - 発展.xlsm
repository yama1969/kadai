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codeName="ThisWorkbook" defaultThemeVersion="124226"/>
  <bookViews>
    <workbookView xWindow="45" yWindow="0" windowWidth="11400" windowHeight="8490"/>
  </bookViews>
  <sheets>
    <sheet name="見積書" sheetId="1" r:id="rId1"/>
    <sheet name="商品台帳" sheetId="2" r:id="rId2"/>
  </sheets>
  <definedNames>
    <definedName name="卸">商品台帳!$B$4:$E$26</definedName>
    <definedName name="小売">商品台帳!$G$4:$J$26</definedName>
  </definedNames>
  <calcPr calcId="145621" calcOnSave="0"/>
</workbook>
</file>

<file path=xl/calcChain.xml><?xml version="1.0" encoding="utf-8"?>
<calcChain xmlns="http://schemas.openxmlformats.org/spreadsheetml/2006/main">
  <c r="G15" i="1" l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M2" i="2"/>
  <c r="N19" i="2"/>
  <c r="P20" i="2"/>
  <c r="P14" i="2"/>
  <c r="M26" i="2"/>
  <c r="O26" i="2"/>
  <c r="M10" i="2"/>
  <c r="P4" i="2"/>
  <c r="N6" i="2"/>
  <c r="P26" i="2"/>
  <c r="N5" i="2"/>
  <c r="M22" i="2"/>
  <c r="N22" i="2"/>
  <c r="M9" i="2"/>
  <c r="P5" i="2"/>
  <c r="N16" i="2"/>
  <c r="O10" i="2"/>
  <c r="P6" i="2"/>
  <c r="M23" i="2"/>
  <c r="O6" i="2"/>
  <c r="O19" i="2"/>
  <c r="O17" i="2"/>
  <c r="M19" i="2"/>
  <c r="M18" i="2"/>
  <c r="N21" i="2"/>
  <c r="N9" i="2"/>
  <c r="O25" i="2"/>
  <c r="O8" i="2"/>
  <c r="O12" i="2"/>
  <c r="P11" i="2"/>
  <c r="M14" i="2"/>
  <c r="O13" i="2"/>
  <c r="N17" i="2"/>
  <c r="P24" i="2"/>
  <c r="N11" i="2"/>
  <c r="O22" i="2"/>
  <c r="N4" i="2"/>
  <c r="P23" i="2"/>
  <c r="O9" i="2"/>
  <c r="P21" i="2"/>
  <c r="O4" i="2"/>
  <c r="O11" i="2"/>
  <c r="O15" i="2"/>
  <c r="M4" i="2"/>
  <c r="N24" i="2"/>
  <c r="O21" i="2"/>
  <c r="M25" i="2"/>
  <c r="O20" i="2"/>
  <c r="O24" i="2"/>
  <c r="O16" i="2"/>
  <c r="M20" i="2"/>
  <c r="P25" i="2"/>
  <c r="P19" i="2"/>
  <c r="P15" i="2"/>
  <c r="P10" i="2"/>
  <c r="N12" i="2"/>
  <c r="N10" i="2"/>
  <c r="N25" i="2"/>
  <c r="M24" i="2"/>
  <c r="M7" i="2"/>
  <c r="P22" i="2"/>
  <c r="P16" i="2"/>
  <c r="M15" i="2"/>
  <c r="O18" i="2"/>
  <c r="M6" i="2"/>
  <c r="M13" i="2"/>
  <c r="M11" i="2"/>
  <c r="O14" i="2"/>
  <c r="N7" i="2"/>
  <c r="N20" i="2"/>
  <c r="N18" i="2"/>
  <c r="M21" i="2"/>
  <c r="N15" i="2"/>
  <c r="P8" i="2"/>
  <c r="N26" i="2"/>
  <c r="N8" i="2"/>
  <c r="M8" i="2"/>
  <c r="N13" i="2"/>
  <c r="O23" i="2"/>
  <c r="P18" i="2"/>
  <c r="M16" i="2"/>
  <c r="P13" i="2"/>
  <c r="P7" i="2"/>
  <c r="M5" i="2"/>
  <c r="N23" i="2"/>
  <c r="O7" i="2"/>
  <c r="O5" i="2"/>
  <c r="P17" i="2"/>
  <c r="P9" i="2"/>
  <c r="N14" i="2"/>
  <c r="M17" i="2"/>
  <c r="M12" i="2"/>
  <c r="P12" i="2"/>
  <c r="B15" i="1" l="1"/>
  <c r="F15" i="1"/>
  <c r="D15" i="1"/>
  <c r="D14" i="1"/>
  <c r="G14" i="1" s="1"/>
  <c r="F14" i="1"/>
  <c r="B14" i="1"/>
  <c r="B13" i="1"/>
  <c r="F13" i="1"/>
  <c r="D13" i="1"/>
  <c r="G13" i="1" s="1"/>
  <c r="F26" i="2"/>
  <c r="F25" i="2"/>
  <c r="F24" i="2"/>
  <c r="F23" i="2"/>
  <c r="F22" i="2"/>
  <c r="F21" i="2"/>
  <c r="F20" i="2"/>
  <c r="F19" i="2"/>
  <c r="F4" i="2"/>
  <c r="G33" i="1" l="1"/>
  <c r="G34" i="1" s="1"/>
  <c r="G36" i="1" l="1"/>
  <c r="C4" i="1" s="1"/>
</calcChain>
</file>

<file path=xl/sharedStrings.xml><?xml version="1.0" encoding="utf-8"?>
<sst xmlns="http://schemas.openxmlformats.org/spreadsheetml/2006/main" count="134" uniqueCount="83">
  <si>
    <t>御見積金額</t>
    <rPh sb="0" eb="3">
      <t>オミツモリ</t>
    </rPh>
    <rPh sb="3" eb="5">
      <t>キンガク</t>
    </rPh>
    <phoneticPr fontId="3"/>
  </si>
  <si>
    <t>納品期日：</t>
    <rPh sb="0" eb="2">
      <t>ノウヒン</t>
    </rPh>
    <rPh sb="2" eb="4">
      <t>キジツ</t>
    </rPh>
    <phoneticPr fontId="3"/>
  </si>
  <si>
    <t>納品場所：</t>
    <rPh sb="0" eb="2">
      <t>ノウヒン</t>
    </rPh>
    <rPh sb="2" eb="4">
      <t>バショ</t>
    </rPh>
    <phoneticPr fontId="3"/>
  </si>
  <si>
    <t>有効期限：</t>
    <rPh sb="0" eb="4">
      <t>ユウコウキゲン</t>
    </rPh>
    <phoneticPr fontId="3"/>
  </si>
  <si>
    <t>支払条件：</t>
    <rPh sb="0" eb="2">
      <t>シハラ</t>
    </rPh>
    <rPh sb="2" eb="4">
      <t>ジョウケン</t>
    </rPh>
    <phoneticPr fontId="3"/>
  </si>
  <si>
    <t>株式会社 ○○○○</t>
    <rPh sb="0" eb="4">
      <t>カブシキガイシャ</t>
    </rPh>
    <phoneticPr fontId="3"/>
  </si>
  <si>
    <t>〒000-000</t>
    <phoneticPr fontId="3"/>
  </si>
  <si>
    <t>住所：</t>
    <phoneticPr fontId="3"/>
  </si>
  <si>
    <t>TEL：</t>
    <phoneticPr fontId="3"/>
  </si>
  <si>
    <t>FAX：</t>
    <phoneticPr fontId="3"/>
  </si>
  <si>
    <t>商品コード</t>
    <rPh sb="0" eb="2">
      <t>ショウヒン</t>
    </rPh>
    <phoneticPr fontId="3"/>
  </si>
  <si>
    <t>商品名</t>
    <rPh sb="0" eb="3">
      <t>ショウヒンメイ</t>
    </rPh>
    <phoneticPr fontId="3"/>
  </si>
  <si>
    <t>金額</t>
    <rPh sb="0" eb="2">
      <t>キンガク</t>
    </rPh>
    <phoneticPr fontId="3"/>
  </si>
  <si>
    <t>単価</t>
    <rPh sb="0" eb="2">
      <t>タンカ</t>
    </rPh>
    <phoneticPr fontId="3"/>
  </si>
  <si>
    <t>【　備　考　】</t>
    <rPh sb="2" eb="3">
      <t>ソナエ</t>
    </rPh>
    <rPh sb="4" eb="5">
      <t>コウ</t>
    </rPh>
    <phoneticPr fontId="3"/>
  </si>
  <si>
    <t xml:space="preserve"> 御見積書 </t>
    <rPh sb="1" eb="5">
      <t>オミツモリショ</t>
    </rPh>
    <phoneticPr fontId="3"/>
  </si>
  <si>
    <t>合計</t>
    <phoneticPr fontId="3"/>
  </si>
  <si>
    <t>022-1234-5688</t>
    <phoneticPr fontId="3"/>
  </si>
  <si>
    <t>022-1234-5677</t>
    <phoneticPr fontId="3"/>
  </si>
  <si>
    <t>仙台市青葉区花京院1-3-1</t>
    <rPh sb="0" eb="3">
      <t>センダイシ</t>
    </rPh>
    <rPh sb="3" eb="6">
      <t>アオバク</t>
    </rPh>
    <rPh sb="6" eb="7">
      <t>ハナ</t>
    </rPh>
    <rPh sb="7" eb="8">
      <t>キョウ</t>
    </rPh>
    <rPh sb="8" eb="9">
      <t>イン</t>
    </rPh>
    <phoneticPr fontId="3"/>
  </si>
  <si>
    <t>発効日から７日間</t>
    <rPh sb="0" eb="3">
      <t>ハッコウビ</t>
    </rPh>
    <rPh sb="6" eb="7">
      <t>ニチ</t>
    </rPh>
    <rPh sb="7" eb="8">
      <t>カン</t>
    </rPh>
    <phoneticPr fontId="3"/>
  </si>
  <si>
    <t>数量</t>
    <rPh sb="0" eb="2">
      <t>スウリョウ</t>
    </rPh>
    <phoneticPr fontId="3"/>
  </si>
  <si>
    <t>取引種類:</t>
    <rPh sb="0" eb="1">
      <t>ト</t>
    </rPh>
    <rPh sb="1" eb="2">
      <t>ヒ</t>
    </rPh>
    <rPh sb="2" eb="4">
      <t>シュルイ</t>
    </rPh>
    <phoneticPr fontId="3"/>
  </si>
  <si>
    <t>定価</t>
    <rPh sb="0" eb="2">
      <t>テイカ</t>
    </rPh>
    <phoneticPr fontId="3"/>
  </si>
  <si>
    <t>御中</t>
    <phoneticPr fontId="3"/>
  </si>
  <si>
    <t>小計</t>
    <rPh sb="0" eb="1">
      <t>ショウ</t>
    </rPh>
    <rPh sb="1" eb="2">
      <t>ケイ</t>
    </rPh>
    <phoneticPr fontId="3"/>
  </si>
  <si>
    <t>消費税（8％）</t>
  </si>
  <si>
    <t>値引き</t>
    <rPh sb="0" eb="2">
      <t>ネビ</t>
    </rPh>
    <phoneticPr fontId="3"/>
  </si>
  <si>
    <t>小売</t>
  </si>
  <si>
    <t>取扱い商品リスト</t>
    <rPh sb="0" eb="2">
      <t>トリアツカ</t>
    </rPh>
    <rPh sb="3" eb="5">
      <t>ショウヒン</t>
    </rPh>
    <phoneticPr fontId="8"/>
  </si>
  <si>
    <t>卸</t>
    <rPh sb="0" eb="1">
      <t>オロシ</t>
    </rPh>
    <phoneticPr fontId="8"/>
  </si>
  <si>
    <t>小売</t>
    <rPh sb="0" eb="2">
      <t>コウリ</t>
    </rPh>
    <phoneticPr fontId="8"/>
  </si>
  <si>
    <t>商品CD</t>
    <rPh sb="0" eb="2">
      <t>ショウヒン</t>
    </rPh>
    <phoneticPr fontId="8"/>
  </si>
  <si>
    <t>商品名</t>
  </si>
  <si>
    <t>単価</t>
    <rPh sb="0" eb="2">
      <t>タンカ</t>
    </rPh>
    <phoneticPr fontId="8"/>
  </si>
  <si>
    <t>定価</t>
    <rPh sb="0" eb="2">
      <t>テイカ</t>
    </rPh>
    <phoneticPr fontId="8"/>
  </si>
  <si>
    <t>C001</t>
  </si>
  <si>
    <t>きびだんご　10個入り（プレーン）</t>
  </si>
  <si>
    <t>C002</t>
  </si>
  <si>
    <t>きびだんご　10個入り（チョコ）</t>
  </si>
  <si>
    <t>C003</t>
  </si>
  <si>
    <t>きびだんご三昧　30個入りセット</t>
  </si>
  <si>
    <t>C005</t>
  </si>
  <si>
    <t>ひよこ饅頭　24個入り</t>
  </si>
  <si>
    <t>C006</t>
  </si>
  <si>
    <t>パリパリかにせんべい　10枚入り</t>
  </si>
  <si>
    <t>C007</t>
  </si>
  <si>
    <t>パリパリかにせんべい　36枚入り</t>
  </si>
  <si>
    <t>C008</t>
  </si>
  <si>
    <t>白雪　マドレーヌ　12個入り</t>
  </si>
  <si>
    <t>C009</t>
  </si>
  <si>
    <t>白雪　マドレーヌ　24個入り</t>
  </si>
  <si>
    <t>C011</t>
  </si>
  <si>
    <t>ずんだどら焼き　10個入り</t>
  </si>
  <si>
    <t>C012</t>
  </si>
  <si>
    <t>ずんだどら焼き　20個入り</t>
  </si>
  <si>
    <t>C013</t>
    <phoneticPr fontId="8"/>
  </si>
  <si>
    <t>仙台名物　バリバリせんべい　30枚入り</t>
  </si>
  <si>
    <t>K010</t>
  </si>
  <si>
    <t>ずんだシフォン</t>
  </si>
  <si>
    <t>K011</t>
  </si>
  <si>
    <t>プリンゴフォン</t>
    <phoneticPr fontId="8"/>
  </si>
  <si>
    <t>K012</t>
  </si>
  <si>
    <t>シューラスク　12袋入り</t>
  </si>
  <si>
    <t>K013</t>
  </si>
  <si>
    <t>シューラスク　24袋入り</t>
  </si>
  <si>
    <t>K014</t>
  </si>
  <si>
    <t>あられいっぱい　1缶</t>
  </si>
  <si>
    <t>Y001</t>
    <phoneticPr fontId="8"/>
  </si>
  <si>
    <t>北海道産　たくあん　1kg詰</t>
    <phoneticPr fontId="8"/>
  </si>
  <si>
    <t>Y002</t>
    <phoneticPr fontId="8"/>
  </si>
  <si>
    <t>北海道産　たくあん　2kg詰</t>
  </si>
  <si>
    <t>Y003</t>
    <phoneticPr fontId="8"/>
  </si>
  <si>
    <t>ぽりぽり漬物「Oh!野菜」　1kg詰</t>
  </si>
  <si>
    <t>Y004</t>
    <phoneticPr fontId="8"/>
  </si>
  <si>
    <t>三陸　わかめ詰め合わせ</t>
  </si>
  <si>
    <t>Y005</t>
    <phoneticPr fontId="8"/>
  </si>
  <si>
    <t>わかめ茶　12袋入り</t>
  </si>
  <si>
    <t>Y006</t>
    <phoneticPr fontId="8"/>
  </si>
  <si>
    <t>さば仙台味噌煮　真空パック　5袋入り</t>
  </si>
  <si>
    <t>Y007</t>
    <phoneticPr fontId="8"/>
  </si>
  <si>
    <t>さば仙台味噌煮　真空パック　10袋入り</t>
  </si>
  <si>
    <t>C001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</si>
</sst>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5" formatCode="&quot;¥&quot;#,##0;&quot;¥&quot;\-#,##0"/>
    <numFmt numFmtId="42" formatCode="_ &quot;¥&quot;* #,##0_ ;_ &quot;¥&quot;* \-#,##0_ ;_ &quot;¥&quot;* &quot;-&quot;_ ;_ @_ "/>
    <numFmt numFmtId="176" formatCode="&quot;発行日： &quot;yyyy&quot;年&quot;mm&quot;月&quot;dd&quot;日&quot;"/>
    <numFmt numFmtId="177" formatCode="0000"/>
  </numFmts>
  <fonts count="13" x14ac:knownFonts="1">
    <font>
      <sz val="9"/>
      <color theme="1"/>
      <name val="メイリオ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9"/>
      <color theme="1"/>
      <name val="メイリオ"/>
      <family val="2"/>
      <charset val="128"/>
    </font>
    <font>
      <sz val="6"/>
      <name val="メイリオ"/>
      <family val="2"/>
      <charset val="128"/>
    </font>
    <font>
      <sz val="10"/>
      <color theme="1"/>
      <name val="メイリオ"/>
      <family val="2"/>
      <charset val="128"/>
    </font>
    <font>
      <b/>
      <sz val="10"/>
      <color theme="1"/>
      <name val="メイリオ"/>
      <family val="3"/>
      <charset val="128"/>
    </font>
    <font>
      <b/>
      <sz val="12"/>
      <color theme="1"/>
      <name val="メイリオ"/>
      <family val="3"/>
      <charset val="128"/>
    </font>
    <font>
      <b/>
      <sz val="16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b/>
      <sz val="12"/>
      <color theme="1"/>
      <name val="Meiryo UI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4"/>
      <color theme="1"/>
      <name val="メイリオ"/>
      <family val="3"/>
      <charset val="128"/>
    </font>
    <font>
      <b/>
      <u/>
      <sz val="18"/>
      <color theme="1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/>
      <bottom style="hair">
        <color auto="1"/>
      </bottom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/>
      <bottom style="hair">
        <color auto="1"/>
      </bottom>
      <diagonal/>
    </border>
    <border>
      <left/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double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indexed="64"/>
      </bottom>
      <diagonal/>
    </border>
    <border>
      <left/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auto="1"/>
      </top>
      <bottom style="double">
        <color indexed="64"/>
      </bottom>
      <diagonal/>
    </border>
  </borders>
  <cellStyleXfs count="4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0" xfId="0" applyFont="1" applyBorder="1">
      <alignment vertical="center"/>
    </xf>
    <xf numFmtId="0" fontId="4" fillId="0" borderId="3" xfId="0" applyFont="1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10" xfId="0" applyFont="1" applyBorder="1" applyAlignment="1">
      <alignment vertical="top"/>
    </xf>
    <xf numFmtId="0" fontId="4" fillId="0" borderId="11" xfId="0" applyFont="1" applyBorder="1">
      <alignment vertical="center"/>
    </xf>
    <xf numFmtId="0" fontId="4" fillId="0" borderId="12" xfId="0" applyFont="1" applyFill="1" applyBorder="1" applyAlignment="1">
      <alignment vertical="center"/>
    </xf>
    <xf numFmtId="0" fontId="5" fillId="2" borderId="17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/>
    </xf>
    <xf numFmtId="0" fontId="4" fillId="0" borderId="32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38" fontId="4" fillId="0" borderId="4" xfId="1" applyFont="1" applyBorder="1" applyAlignment="1">
      <alignment horizontal="right" vertical="center"/>
    </xf>
    <xf numFmtId="38" fontId="4" fillId="0" borderId="5" xfId="1" applyFont="1" applyBorder="1" applyAlignment="1">
      <alignment horizontal="right" vertical="center"/>
    </xf>
    <xf numFmtId="38" fontId="4" fillId="0" borderId="29" xfId="1" applyFont="1" applyBorder="1" applyAlignment="1">
      <alignment horizontal="right" vertical="center"/>
    </xf>
    <xf numFmtId="20" fontId="4" fillId="0" borderId="0" xfId="0" applyNumberFormat="1" applyFont="1">
      <alignment vertical="center"/>
    </xf>
    <xf numFmtId="0" fontId="4" fillId="3" borderId="37" xfId="0" applyFont="1" applyFill="1" applyBorder="1" applyAlignment="1">
      <alignment horizontal="right" vertical="center"/>
    </xf>
    <xf numFmtId="5" fontId="6" fillId="0" borderId="2" xfId="0" applyNumberFormat="1" applyFont="1" applyBorder="1" applyAlignment="1"/>
    <xf numFmtId="38" fontId="4" fillId="0" borderId="4" xfId="1" applyFont="1" applyBorder="1" applyAlignment="1">
      <alignment vertical="center"/>
    </xf>
    <xf numFmtId="42" fontId="4" fillId="0" borderId="0" xfId="0" applyNumberFormat="1" applyFont="1">
      <alignment vertical="center"/>
    </xf>
    <xf numFmtId="0" fontId="7" fillId="0" borderId="0" xfId="2" applyNumberFormat="1" applyFont="1" applyAlignment="1">
      <alignment vertical="center"/>
    </xf>
    <xf numFmtId="0" fontId="1" fillId="0" borderId="0" xfId="2" applyNumberFormat="1" applyAlignment="1">
      <alignment vertical="center"/>
    </xf>
    <xf numFmtId="0" fontId="1" fillId="0" borderId="0" xfId="2">
      <alignment vertical="center"/>
    </xf>
    <xf numFmtId="0" fontId="1" fillId="0" borderId="0" xfId="2" applyAlignment="1">
      <alignment vertical="center"/>
    </xf>
    <xf numFmtId="0" fontId="7" fillId="0" borderId="0" xfId="2" applyFont="1" applyAlignment="1">
      <alignment vertical="center"/>
    </xf>
    <xf numFmtId="0" fontId="9" fillId="4" borderId="37" xfId="2" applyFont="1" applyFill="1" applyBorder="1" applyAlignment="1">
      <alignment horizontal="center" vertical="center"/>
    </xf>
    <xf numFmtId="0" fontId="10" fillId="0" borderId="37" xfId="2" applyFont="1" applyBorder="1">
      <alignment vertical="center"/>
    </xf>
    <xf numFmtId="38" fontId="0" fillId="0" borderId="37" xfId="3" applyFont="1" applyBorder="1">
      <alignment vertical="center"/>
    </xf>
    <xf numFmtId="0" fontId="1" fillId="0" borderId="0" xfId="2" applyAlignment="1">
      <alignment horizontal="center" vertical="center"/>
    </xf>
    <xf numFmtId="0" fontId="4" fillId="0" borderId="0" xfId="0" applyFont="1" applyBorder="1" applyAlignment="1">
      <alignment horizontal="right" vertical="center"/>
    </xf>
    <xf numFmtId="0" fontId="11" fillId="0" borderId="1" xfId="0" applyFont="1" applyBorder="1" applyAlignment="1">
      <alignment vertical="center"/>
    </xf>
    <xf numFmtId="5" fontId="11" fillId="0" borderId="2" xfId="0" applyNumberFormat="1" applyFont="1" applyBorder="1" applyAlignment="1"/>
    <xf numFmtId="0" fontId="11" fillId="0" borderId="1" xfId="0" applyFont="1" applyBorder="1" applyAlignment="1" applyProtection="1">
      <alignment vertical="center"/>
      <protection locked="0"/>
    </xf>
    <xf numFmtId="0" fontId="4" fillId="0" borderId="37" xfId="0" applyFont="1" applyFill="1" applyBorder="1" applyAlignment="1" applyProtection="1">
      <alignment horizontal="center" vertical="center"/>
      <protection locked="0"/>
    </xf>
    <xf numFmtId="0" fontId="4" fillId="0" borderId="3" xfId="0" applyFont="1" applyBorder="1" applyProtection="1">
      <alignment vertical="center"/>
      <protection locked="0"/>
    </xf>
    <xf numFmtId="0" fontId="4" fillId="0" borderId="20" xfId="0" applyNumberFormat="1" applyFont="1" applyBorder="1" applyAlignment="1" applyProtection="1">
      <alignment vertical="center"/>
      <protection locked="0"/>
    </xf>
    <xf numFmtId="177" fontId="4" fillId="0" borderId="21" xfId="0" applyNumberFormat="1" applyFont="1" applyBorder="1" applyAlignment="1" applyProtection="1">
      <alignment vertical="center"/>
      <protection locked="0"/>
    </xf>
    <xf numFmtId="177" fontId="4" fillId="0" borderId="28" xfId="0" applyNumberFormat="1" applyFont="1" applyBorder="1" applyAlignment="1" applyProtection="1">
      <alignment vertical="center"/>
      <protection locked="0"/>
    </xf>
    <xf numFmtId="38" fontId="4" fillId="0" borderId="4" xfId="1" applyFont="1" applyBorder="1" applyAlignment="1" applyProtection="1">
      <alignment horizontal="right" vertical="center" indent="1"/>
      <protection locked="0"/>
    </xf>
    <xf numFmtId="38" fontId="4" fillId="0" borderId="5" xfId="1" applyFont="1" applyBorder="1" applyAlignment="1" applyProtection="1">
      <alignment horizontal="right" vertical="center" indent="1"/>
      <protection locked="0"/>
    </xf>
    <xf numFmtId="38" fontId="4" fillId="0" borderId="29" xfId="1" applyFont="1" applyBorder="1" applyAlignment="1" applyProtection="1">
      <alignment horizontal="right" vertical="center" indent="1"/>
      <protection locked="0"/>
    </xf>
    <xf numFmtId="0" fontId="4" fillId="0" borderId="0" xfId="0" applyNumberFormat="1" applyFont="1">
      <alignment vertical="center"/>
    </xf>
    <xf numFmtId="0" fontId="4" fillId="0" borderId="13" xfId="0" applyFont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4" xfId="0" applyBorder="1" applyAlignment="1" applyProtection="1">
      <alignment vertical="center"/>
      <protection locked="0"/>
    </xf>
    <xf numFmtId="0" fontId="4" fillId="0" borderId="15" xfId="0" applyFont="1" applyBorder="1" applyAlignment="1" applyProtection="1">
      <alignment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0" fillId="0" borderId="16" xfId="0" applyBorder="1" applyAlignment="1" applyProtection="1">
      <alignment vertical="center"/>
      <protection locked="0"/>
    </xf>
    <xf numFmtId="42" fontId="4" fillId="0" borderId="6" xfId="1" applyNumberFormat="1" applyFont="1" applyBorder="1" applyAlignment="1">
      <alignment horizontal="center" vertical="center"/>
    </xf>
    <xf numFmtId="42" fontId="4" fillId="0" borderId="24" xfId="1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left" vertical="center"/>
    </xf>
    <xf numFmtId="0" fontId="5" fillId="2" borderId="33" xfId="0" applyFont="1" applyFill="1" applyBorder="1" applyAlignment="1">
      <alignment horizontal="center" vertical="center"/>
    </xf>
    <xf numFmtId="0" fontId="5" fillId="2" borderId="34" xfId="0" applyFont="1" applyFill="1" applyBorder="1" applyAlignment="1">
      <alignment horizontal="center" vertical="center"/>
    </xf>
    <xf numFmtId="176" fontId="4" fillId="0" borderId="0" xfId="0" applyNumberFormat="1" applyFont="1" applyAlignment="1" applyProtection="1">
      <alignment horizontal="center"/>
      <protection locked="0"/>
    </xf>
    <xf numFmtId="0" fontId="11" fillId="0" borderId="2" xfId="0" applyFont="1" applyBorder="1" applyAlignment="1">
      <alignment horizontal="center"/>
    </xf>
    <xf numFmtId="0" fontId="5" fillId="0" borderId="3" xfId="0" applyFont="1" applyBorder="1" applyAlignment="1">
      <alignment horizontal="left" vertical="center"/>
    </xf>
    <xf numFmtId="0" fontId="12" fillId="0" borderId="0" xfId="0" applyFont="1" applyAlignment="1">
      <alignment horizontal="center" vertical="top"/>
    </xf>
    <xf numFmtId="38" fontId="4" fillId="0" borderId="8" xfId="1" applyFont="1" applyBorder="1" applyAlignment="1">
      <alignment vertical="center"/>
    </xf>
    <xf numFmtId="38" fontId="4" fillId="0" borderId="9" xfId="1" applyFont="1" applyBorder="1" applyAlignment="1">
      <alignment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15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42" fontId="4" fillId="0" borderId="28" xfId="1" applyNumberFormat="1" applyFont="1" applyBorder="1" applyAlignment="1" applyProtection="1">
      <alignment horizontal="center" vertical="center"/>
      <protection locked="0"/>
    </xf>
    <xf numFmtId="42" fontId="4" fillId="0" borderId="30" xfId="1" applyNumberFormat="1" applyFont="1" applyBorder="1" applyAlignment="1" applyProtection="1">
      <alignment horizontal="center" vertical="center"/>
      <protection locked="0"/>
    </xf>
    <xf numFmtId="42" fontId="4" fillId="0" borderId="40" xfId="1" applyNumberFormat="1" applyFont="1" applyBorder="1" applyAlignment="1">
      <alignment horizontal="center" vertical="center"/>
    </xf>
    <xf numFmtId="42" fontId="4" fillId="0" borderId="41" xfId="1" applyNumberFormat="1" applyFont="1" applyBorder="1" applyAlignment="1">
      <alignment horizontal="center" vertical="center"/>
    </xf>
    <xf numFmtId="0" fontId="4" fillId="0" borderId="42" xfId="0" applyFont="1" applyBorder="1" applyAlignment="1">
      <alignment vertical="center"/>
    </xf>
    <xf numFmtId="0" fontId="4" fillId="0" borderId="39" xfId="0" applyFont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4" fillId="0" borderId="22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42" fontId="4" fillId="0" borderId="25" xfId="1" applyNumberFormat="1" applyFont="1" applyBorder="1" applyAlignment="1">
      <alignment horizontal="center" vertical="center"/>
    </xf>
    <xf numFmtId="42" fontId="4" fillId="0" borderId="23" xfId="1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right" vertical="center"/>
    </xf>
    <xf numFmtId="0" fontId="5" fillId="2" borderId="18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  <xf numFmtId="42" fontId="4" fillId="0" borderId="8" xfId="1" applyNumberFormat="1" applyFont="1" applyBorder="1" applyAlignment="1">
      <alignment horizontal="center" vertical="center"/>
    </xf>
    <xf numFmtId="42" fontId="4" fillId="0" borderId="38" xfId="1" applyNumberFormat="1" applyFont="1" applyBorder="1" applyAlignment="1">
      <alignment horizontal="center" vertical="center"/>
    </xf>
    <xf numFmtId="42" fontId="4" fillId="0" borderId="35" xfId="1" applyNumberFormat="1" applyFont="1" applyBorder="1" applyAlignment="1">
      <alignment horizontal="center" vertical="center"/>
    </xf>
    <xf numFmtId="42" fontId="4" fillId="0" borderId="39" xfId="1" applyNumberFormat="1" applyFont="1" applyBorder="1" applyAlignment="1">
      <alignment horizontal="center" vertical="center"/>
    </xf>
    <xf numFmtId="0" fontId="4" fillId="0" borderId="35" xfId="0" applyFont="1" applyBorder="1" applyAlignment="1">
      <alignment horizontal="left" vertical="center"/>
    </xf>
    <xf numFmtId="0" fontId="4" fillId="0" borderId="36" xfId="0" applyFont="1" applyBorder="1" applyAlignment="1">
      <alignment horizontal="left" vertical="center"/>
    </xf>
  </cellXfs>
  <cellStyles count="4">
    <cellStyle name="桁区切り" xfId="1" builtinId="6"/>
    <cellStyle name="桁区切り 2" xfId="3"/>
    <cellStyle name="標準" xfId="0" builtinId="0"/>
    <cellStyle name="標準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66675</xdr:colOff>
      <xdr:row>11</xdr:row>
      <xdr:rowOff>1</xdr:rowOff>
    </xdr:to>
    <xdr:sp macro="" textlink="">
      <xdr:nvSpPr>
        <xdr:cNvPr id="2" name="テキスト ボックス 1"/>
        <xdr:cNvSpPr txBox="1"/>
      </xdr:nvSpPr>
      <xdr:spPr>
        <a:xfrm>
          <a:off x="6124575" y="152400"/>
          <a:ext cx="2838450" cy="2476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イベントを利用する</a:t>
          </a:r>
          <a:r>
            <a:rPr kumimoji="1" lang="en-US" altLang="ja-JP" sz="1100"/>
            <a:t>VBA</a:t>
          </a:r>
          <a:r>
            <a:rPr kumimoji="1" lang="ja-JP" altLang="en-US" sz="1100"/>
            <a:t>の例です。</a:t>
          </a:r>
          <a:endParaRPr kumimoji="1" lang="en-US" altLang="ja-JP" sz="1100"/>
        </a:p>
        <a:p>
          <a:r>
            <a:rPr kumimoji="1" lang="ja-JP" altLang="en-US" sz="1100"/>
            <a:t>印刷をする前にセル</a:t>
          </a:r>
          <a:r>
            <a:rPr kumimoji="1" lang="en-US" altLang="ja-JP" sz="1100"/>
            <a:t>A3</a:t>
          </a:r>
          <a:r>
            <a:rPr kumimoji="1" lang="ja-JP" altLang="en-US" sz="1100"/>
            <a:t>をチェックし、もしも</a:t>
          </a:r>
          <a:r>
            <a:rPr kumimoji="1" lang="en-US" altLang="ja-JP" sz="1100"/>
            <a:t>A3</a:t>
          </a:r>
          <a:r>
            <a:rPr kumimoji="1" lang="ja-JP" altLang="en-US" sz="1100"/>
            <a:t>が空なら、メッセージを表示して印刷をキャンセルします。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なお、関数や入力規則などの</a:t>
          </a:r>
          <a:r>
            <a:rPr kumimoji="1" lang="en-US" altLang="ja-JP" sz="1100"/>
            <a:t>VBA</a:t>
          </a:r>
          <a:r>
            <a:rPr kumimoji="1" lang="ja-JP" altLang="en-US" sz="1100"/>
            <a:t>以外の機能を用いて、出来る限り不正入力できないように作成されています。</a:t>
          </a:r>
          <a:endParaRPr kumimoji="1" lang="en-US" altLang="ja-JP" sz="1100"/>
        </a:p>
        <a:p>
          <a:r>
            <a:rPr kumimoji="1" lang="ja-JP" altLang="en-US" sz="1100"/>
            <a:t>（未入力セルに色を付けるなど、まだまだ出来ることはありそうですけどね。）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en-US" altLang="ja-JP" sz="1100"/>
            <a:t>VBA</a:t>
          </a:r>
          <a:r>
            <a:rPr kumimoji="1" lang="ja-JP" altLang="en-US" sz="1100"/>
            <a:t>は、</a:t>
          </a:r>
          <a:r>
            <a:rPr kumimoji="1" lang="en-US" altLang="ja-JP" sz="1100"/>
            <a:t>VBA</a:t>
          </a:r>
          <a:r>
            <a:rPr kumimoji="1" lang="ja-JP" altLang="en-US" sz="1100"/>
            <a:t>でしか出来ない所だけで利用しましょう、という提案でもあります。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314325</xdr:colOff>
      <xdr:row>11</xdr:row>
      <xdr:rowOff>76200</xdr:rowOff>
    </xdr:from>
    <xdr:to>
      <xdr:col>13</xdr:col>
      <xdr:colOff>76200</xdr:colOff>
      <xdr:row>32</xdr:row>
      <xdr:rowOff>200025</xdr:rowOff>
    </xdr:to>
    <xdr:sp macro="" textlink="">
      <xdr:nvSpPr>
        <xdr:cNvPr id="3" name="テキスト ボックス 2"/>
        <xdr:cNvSpPr txBox="1"/>
      </xdr:nvSpPr>
      <xdr:spPr>
        <a:xfrm>
          <a:off x="6115050" y="2705100"/>
          <a:ext cx="2857500" cy="1266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このファイルは機能拡張版です。</a:t>
          </a:r>
          <a:endParaRPr kumimoji="1" lang="en-US" altLang="ja-JP" sz="1100"/>
        </a:p>
        <a:p>
          <a:r>
            <a:rPr kumimoji="1" lang="ja-JP" altLang="en-US" sz="1100"/>
            <a:t>「見積書</a:t>
          </a:r>
          <a:r>
            <a:rPr kumimoji="1" lang="en-US" altLang="ja-JP" sz="1100"/>
            <a:t>.xlsm</a:t>
          </a:r>
          <a:r>
            <a:rPr kumimoji="1" lang="ja-JP" altLang="en-US" sz="1100"/>
            <a:t>」の方は、他シートの印刷でも</a:t>
          </a:r>
          <a:r>
            <a:rPr kumimoji="1" lang="en-US" altLang="ja-JP" sz="1100"/>
            <a:t>A3</a:t>
          </a:r>
          <a:r>
            <a:rPr kumimoji="1" lang="ja-JP" altLang="en-US" sz="1100"/>
            <a:t>セルのチェックが走ってしまいます。</a:t>
          </a:r>
          <a:endParaRPr kumimoji="1" lang="en-US" altLang="ja-JP" sz="1100"/>
        </a:p>
        <a:p>
          <a:r>
            <a:rPr kumimoji="1" lang="ja-JP" altLang="en-US" sz="1100"/>
            <a:t>このファイルでは、印刷対象に見積書シートが含まれているときのみ、見積書シートの</a:t>
          </a:r>
          <a:r>
            <a:rPr kumimoji="1" lang="en-US" altLang="ja-JP" sz="1100"/>
            <a:t>A3</a:t>
          </a:r>
          <a:r>
            <a:rPr kumimoji="1" lang="ja-JP" altLang="en-US" sz="1100"/>
            <a:t>セルをチェックするようにしています。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3"/>
  <sheetViews>
    <sheetView tabSelected="1" zoomScaleNormal="100" workbookViewId="0">
      <selection activeCell="A15" sqref="A15"/>
    </sheetView>
  </sheetViews>
  <sheetFormatPr defaultRowHeight="16.5" x14ac:dyDescent="0.35"/>
  <cols>
    <col min="1" max="1" width="10.140625" style="1" customWidth="1"/>
    <col min="2" max="2" width="11" style="1" customWidth="1"/>
    <col min="3" max="3" width="24.140625" style="1" customWidth="1"/>
    <col min="4" max="6" width="7.7109375" style="1" customWidth="1"/>
    <col min="7" max="8" width="9.28515625" style="1" customWidth="1"/>
    <col min="9" max="9" width="9.140625" style="1"/>
    <col min="10" max="10" width="9.85546875" style="1" bestFit="1" customWidth="1"/>
    <col min="11" max="16384" width="9.140625" style="1"/>
  </cols>
  <sheetData>
    <row r="1" spans="1:10" ht="23.25" customHeight="1" x14ac:dyDescent="0.4">
      <c r="A1" s="59" t="s">
        <v>15</v>
      </c>
      <c r="B1" s="59"/>
      <c r="C1" s="59"/>
      <c r="D1" s="59"/>
      <c r="F1" s="56">
        <v>42926</v>
      </c>
      <c r="G1" s="56"/>
      <c r="H1" s="56"/>
    </row>
    <row r="2" spans="1:10" ht="12.75" customHeight="1" x14ac:dyDescent="0.35"/>
    <row r="3" spans="1:10" ht="24" customHeight="1" thickBot="1" x14ac:dyDescent="0.4">
      <c r="A3" s="35"/>
      <c r="B3" s="33"/>
      <c r="C3" s="33" t="s">
        <v>24</v>
      </c>
      <c r="D3" s="2"/>
      <c r="G3" s="19" t="s">
        <v>22</v>
      </c>
      <c r="H3" s="36" t="s">
        <v>28</v>
      </c>
    </row>
    <row r="4" spans="1:10" ht="24" customHeight="1" thickBot="1" x14ac:dyDescent="0.55000000000000004">
      <c r="A4" s="57" t="s">
        <v>0</v>
      </c>
      <c r="B4" s="57"/>
      <c r="C4" s="34">
        <f ca="1">G36</f>
        <v>4978</v>
      </c>
      <c r="D4" s="20"/>
    </row>
    <row r="5" spans="1:10" ht="18.95" customHeight="1" x14ac:dyDescent="0.35">
      <c r="F5" s="58" t="s">
        <v>5</v>
      </c>
      <c r="G5" s="58"/>
      <c r="H5" s="58"/>
    </row>
    <row r="6" spans="1:10" ht="18.95" customHeight="1" x14ac:dyDescent="0.35">
      <c r="A6" s="3" t="s">
        <v>1</v>
      </c>
      <c r="B6" s="37"/>
      <c r="C6" s="3"/>
      <c r="D6" s="3"/>
      <c r="F6" s="3" t="s">
        <v>7</v>
      </c>
      <c r="G6" s="53" t="s">
        <v>6</v>
      </c>
      <c r="H6" s="53"/>
    </row>
    <row r="7" spans="1:10" ht="18.95" customHeight="1" x14ac:dyDescent="0.35">
      <c r="A7" s="3" t="s">
        <v>2</v>
      </c>
      <c r="B7" s="37"/>
      <c r="C7" s="3"/>
      <c r="D7" s="3"/>
      <c r="F7" s="3"/>
      <c r="G7" s="3"/>
      <c r="H7" s="5" t="s">
        <v>19</v>
      </c>
    </row>
    <row r="8" spans="1:10" ht="18.95" customHeight="1" x14ac:dyDescent="0.35">
      <c r="A8" s="3" t="s">
        <v>4</v>
      </c>
      <c r="B8" s="37"/>
      <c r="C8" s="3"/>
      <c r="D8" s="3"/>
      <c r="F8" s="3" t="s">
        <v>8</v>
      </c>
      <c r="G8" s="78" t="s">
        <v>18</v>
      </c>
      <c r="H8" s="78"/>
    </row>
    <row r="9" spans="1:10" ht="18.95" customHeight="1" x14ac:dyDescent="0.35">
      <c r="A9" s="3" t="s">
        <v>3</v>
      </c>
      <c r="B9" s="3" t="s">
        <v>20</v>
      </c>
      <c r="C9" s="3"/>
      <c r="D9" s="3"/>
      <c r="F9" s="3" t="s">
        <v>9</v>
      </c>
      <c r="G9" s="78" t="s">
        <v>17</v>
      </c>
      <c r="H9" s="78"/>
    </row>
    <row r="10" spans="1:10" ht="17.25" customHeight="1" x14ac:dyDescent="0.35">
      <c r="A10" s="4"/>
      <c r="B10" s="4"/>
      <c r="C10" s="4"/>
      <c r="D10" s="4"/>
      <c r="F10" s="4"/>
      <c r="G10" s="32"/>
      <c r="H10" s="32"/>
    </row>
    <row r="11" spans="1:10" ht="12" customHeight="1" thickBot="1" x14ac:dyDescent="0.4">
      <c r="I11" s="18"/>
    </row>
    <row r="12" spans="1:10" ht="18" customHeight="1" x14ac:dyDescent="0.35">
      <c r="A12" s="10" t="s">
        <v>10</v>
      </c>
      <c r="B12" s="54" t="s">
        <v>11</v>
      </c>
      <c r="C12" s="55"/>
      <c r="D12" s="11" t="s">
        <v>13</v>
      </c>
      <c r="E12" s="11" t="s">
        <v>21</v>
      </c>
      <c r="F12" s="11" t="s">
        <v>23</v>
      </c>
      <c r="G12" s="79" t="s">
        <v>12</v>
      </c>
      <c r="H12" s="80"/>
    </row>
    <row r="13" spans="1:10" ht="18" customHeight="1" x14ac:dyDescent="0.35">
      <c r="A13" s="38" t="s">
        <v>36</v>
      </c>
      <c r="B13" s="60" t="str">
        <f ca="1">IF($A13="","",VLOOKUP($A13,商品台帳!$M$4:$P$26,2,0))</f>
        <v>きびだんご　10個入り（プレーン）</v>
      </c>
      <c r="C13" s="61"/>
      <c r="D13" s="21">
        <f ca="1">IF($A13="","",VLOOKUP($A13,商品台帳!$M$4:$P$26,3,0))</f>
        <v>225</v>
      </c>
      <c r="E13" s="41">
        <v>3</v>
      </c>
      <c r="F13" s="15">
        <f ca="1">IF($A13="","",VLOOKUP($A13,商品台帳!$M$4:$P$26,4,0))</f>
        <v>300</v>
      </c>
      <c r="G13" s="81">
        <f ca="1">IF(OR(A13="",E13=""),"",D13*E13)</f>
        <v>675</v>
      </c>
      <c r="H13" s="82"/>
      <c r="J13" s="44"/>
    </row>
    <row r="14" spans="1:10" ht="18" customHeight="1" x14ac:dyDescent="0.35">
      <c r="A14" s="39" t="s">
        <v>46</v>
      </c>
      <c r="B14" s="62" t="str">
        <f ca="1">IF($A14="","",VLOOKUP($A14,商品台帳!$M$4:$P$26,2,0))</f>
        <v>パリパリかにせんべい　36枚入り</v>
      </c>
      <c r="C14" s="63"/>
      <c r="D14" s="16">
        <f ca="1">IF($A14="","",VLOOKUP($A14,商品台帳!$M$4:$P$26,3,0))</f>
        <v>787</v>
      </c>
      <c r="E14" s="42">
        <v>5</v>
      </c>
      <c r="F14" s="16">
        <f ca="1">IF($A14="","",VLOOKUP($A14,商品台帳!$M$4:$P$26,4,0))</f>
        <v>1050</v>
      </c>
      <c r="G14" s="51">
        <f t="shared" ref="G14:G32" ca="1" si="0">IF(OR(A14="",E14=""),"",D14*E14)</f>
        <v>3935</v>
      </c>
      <c r="H14" s="52"/>
      <c r="J14" s="44"/>
    </row>
    <row r="15" spans="1:10" ht="18" customHeight="1" x14ac:dyDescent="0.35">
      <c r="A15" s="39"/>
      <c r="B15" s="62" t="str">
        <f>IF($A15="","",VLOOKUP($A15,商品台帳!$M$4:$P$26,2,0))</f>
        <v/>
      </c>
      <c r="C15" s="63"/>
      <c r="D15" s="16" t="str">
        <f>IF($A15="","",VLOOKUP($A15,商品台帳!$M$4:$P$26,3,0))</f>
        <v/>
      </c>
      <c r="E15" s="42"/>
      <c r="F15" s="16" t="str">
        <f>IF($A15="","",VLOOKUP($A15,商品台帳!$M$4:$P$26,4,0))</f>
        <v/>
      </c>
      <c r="G15" s="51" t="str">
        <f t="shared" si="0"/>
        <v/>
      </c>
      <c r="H15" s="52"/>
      <c r="J15" s="44"/>
    </row>
    <row r="16" spans="1:10" ht="18" hidden="1" customHeight="1" x14ac:dyDescent="0.35">
      <c r="A16" s="39"/>
      <c r="B16" s="62" t="str">
        <f>IF($A16="","",VLOOKUP($A16,商品台帳!$M$4:$P$26,2,0))</f>
        <v/>
      </c>
      <c r="C16" s="63"/>
      <c r="D16" s="16" t="str">
        <f>IF($A16="","",VLOOKUP($A16,商品台帳!$M$4:$P$26,3,0))</f>
        <v/>
      </c>
      <c r="E16" s="42"/>
      <c r="F16" s="16" t="str">
        <f>IF($A16="","",VLOOKUP($A16,商品台帳!$M$4:$P$26,4,0))</f>
        <v/>
      </c>
      <c r="G16" s="51" t="str">
        <f t="shared" si="0"/>
        <v/>
      </c>
      <c r="H16" s="52"/>
      <c r="J16" s="44"/>
    </row>
    <row r="17" spans="1:10" ht="18" hidden="1" customHeight="1" x14ac:dyDescent="0.35">
      <c r="A17" s="39"/>
      <c r="B17" s="62" t="str">
        <f>IF($A17="","",VLOOKUP($A17,商品台帳!$M$4:$P$26,2,0))</f>
        <v/>
      </c>
      <c r="C17" s="63"/>
      <c r="D17" s="16" t="str">
        <f>IF($A17="","",VLOOKUP($A17,商品台帳!$M$4:$P$26,3,0))</f>
        <v/>
      </c>
      <c r="E17" s="42"/>
      <c r="F17" s="16" t="str">
        <f>IF($A17="","",VLOOKUP($A17,商品台帳!$M$4:$P$26,4,0))</f>
        <v/>
      </c>
      <c r="G17" s="51" t="str">
        <f t="shared" si="0"/>
        <v/>
      </c>
      <c r="H17" s="52"/>
      <c r="J17" s="44"/>
    </row>
    <row r="18" spans="1:10" ht="18" hidden="1" customHeight="1" x14ac:dyDescent="0.35">
      <c r="A18" s="39"/>
      <c r="B18" s="62" t="str">
        <f>IF($A18="","",VLOOKUP($A18,商品台帳!$M$4:$P$26,2,0))</f>
        <v/>
      </c>
      <c r="C18" s="63"/>
      <c r="D18" s="16" t="str">
        <f>IF($A18="","",VLOOKUP($A18,商品台帳!$M$4:$P$26,3,0))</f>
        <v/>
      </c>
      <c r="E18" s="42"/>
      <c r="F18" s="16" t="str">
        <f>IF($A18="","",VLOOKUP($A18,商品台帳!$M$4:$P$26,4,0))</f>
        <v/>
      </c>
      <c r="G18" s="51" t="str">
        <f t="shared" si="0"/>
        <v/>
      </c>
      <c r="H18" s="52"/>
      <c r="J18" s="44"/>
    </row>
    <row r="19" spans="1:10" ht="18" hidden="1" customHeight="1" x14ac:dyDescent="0.35">
      <c r="A19" s="39"/>
      <c r="B19" s="62" t="str">
        <f>IF($A19="","",VLOOKUP($A19,商品台帳!$M$4:$P$26,2,0))</f>
        <v/>
      </c>
      <c r="C19" s="63"/>
      <c r="D19" s="16" t="str">
        <f>IF($A19="","",VLOOKUP($A19,商品台帳!$M$4:$P$26,3,0))</f>
        <v/>
      </c>
      <c r="E19" s="42"/>
      <c r="F19" s="16" t="str">
        <f>IF($A19="","",VLOOKUP($A19,商品台帳!$M$4:$P$26,4,0))</f>
        <v/>
      </c>
      <c r="G19" s="51" t="str">
        <f t="shared" si="0"/>
        <v/>
      </c>
      <c r="H19" s="52"/>
      <c r="J19" s="44"/>
    </row>
    <row r="20" spans="1:10" ht="18" hidden="1" customHeight="1" x14ac:dyDescent="0.35">
      <c r="A20" s="39"/>
      <c r="B20" s="62" t="str">
        <f>IF($A20="","",VLOOKUP($A20,商品台帳!$M$4:$P$26,2,0))</f>
        <v/>
      </c>
      <c r="C20" s="63"/>
      <c r="D20" s="16" t="str">
        <f>IF($A20="","",VLOOKUP($A20,商品台帳!$M$4:$P$26,3,0))</f>
        <v/>
      </c>
      <c r="E20" s="42"/>
      <c r="F20" s="16" t="str">
        <f>IF($A20="","",VLOOKUP($A20,商品台帳!$M$4:$P$26,4,0))</f>
        <v/>
      </c>
      <c r="G20" s="51" t="str">
        <f t="shared" si="0"/>
        <v/>
      </c>
      <c r="H20" s="52"/>
      <c r="J20" s="44"/>
    </row>
    <row r="21" spans="1:10" ht="18" hidden="1" customHeight="1" x14ac:dyDescent="0.35">
      <c r="A21" s="39"/>
      <c r="B21" s="62" t="str">
        <f>IF($A21="","",VLOOKUP($A21,商品台帳!$M$4:$P$26,2,0))</f>
        <v/>
      </c>
      <c r="C21" s="63"/>
      <c r="D21" s="16" t="str">
        <f>IF($A21="","",VLOOKUP($A21,商品台帳!$M$4:$P$26,3,0))</f>
        <v/>
      </c>
      <c r="E21" s="42"/>
      <c r="F21" s="16" t="str">
        <f>IF($A21="","",VLOOKUP($A21,商品台帳!$M$4:$P$26,4,0))</f>
        <v/>
      </c>
      <c r="G21" s="51" t="str">
        <f t="shared" si="0"/>
        <v/>
      </c>
      <c r="H21" s="52"/>
      <c r="J21" s="44"/>
    </row>
    <row r="22" spans="1:10" ht="18" hidden="1" customHeight="1" x14ac:dyDescent="0.35">
      <c r="A22" s="39"/>
      <c r="B22" s="62" t="str">
        <f>IF($A22="","",VLOOKUP($A22,商品台帳!$M$4:$P$26,2,0))</f>
        <v/>
      </c>
      <c r="C22" s="63"/>
      <c r="D22" s="16" t="str">
        <f>IF($A22="","",VLOOKUP($A22,商品台帳!$M$4:$P$26,3,0))</f>
        <v/>
      </c>
      <c r="E22" s="42"/>
      <c r="F22" s="16" t="str">
        <f>IF($A22="","",VLOOKUP($A22,商品台帳!$M$4:$P$26,4,0))</f>
        <v/>
      </c>
      <c r="G22" s="51" t="str">
        <f t="shared" si="0"/>
        <v/>
      </c>
      <c r="H22" s="52"/>
      <c r="J22" s="44"/>
    </row>
    <row r="23" spans="1:10" ht="18" hidden="1" customHeight="1" x14ac:dyDescent="0.35">
      <c r="A23" s="39"/>
      <c r="B23" s="62" t="str">
        <f>IF($A23="","",VLOOKUP($A23,商品台帳!$M$4:$P$26,2,0))</f>
        <v/>
      </c>
      <c r="C23" s="63"/>
      <c r="D23" s="16" t="str">
        <f>IF($A23="","",VLOOKUP($A23,商品台帳!$M$4:$P$26,3,0))</f>
        <v/>
      </c>
      <c r="E23" s="42"/>
      <c r="F23" s="16" t="str">
        <f>IF($A23="","",VLOOKUP($A23,商品台帳!$M$4:$P$26,4,0))</f>
        <v/>
      </c>
      <c r="G23" s="51" t="str">
        <f t="shared" si="0"/>
        <v/>
      </c>
      <c r="H23" s="52"/>
      <c r="J23" s="44"/>
    </row>
    <row r="24" spans="1:10" ht="18" hidden="1" customHeight="1" x14ac:dyDescent="0.35">
      <c r="A24" s="39"/>
      <c r="B24" s="62" t="str">
        <f>IF($A24="","",VLOOKUP($A24,商品台帳!$M$4:$P$26,2,0))</f>
        <v/>
      </c>
      <c r="C24" s="63"/>
      <c r="D24" s="16" t="str">
        <f>IF($A24="","",VLOOKUP($A24,商品台帳!$M$4:$P$26,3,0))</f>
        <v/>
      </c>
      <c r="E24" s="42"/>
      <c r="F24" s="16" t="str">
        <f>IF($A24="","",VLOOKUP($A24,商品台帳!$M$4:$P$26,4,0))</f>
        <v/>
      </c>
      <c r="G24" s="51" t="str">
        <f t="shared" si="0"/>
        <v/>
      </c>
      <c r="H24" s="52"/>
      <c r="J24" s="44"/>
    </row>
    <row r="25" spans="1:10" ht="18" hidden="1" customHeight="1" x14ac:dyDescent="0.35">
      <c r="A25" s="39"/>
      <c r="B25" s="62" t="str">
        <f>IF($A25="","",VLOOKUP($A25,商品台帳!$M$4:$P$26,2,0))</f>
        <v/>
      </c>
      <c r="C25" s="63"/>
      <c r="D25" s="16" t="str">
        <f>IF($A25="","",VLOOKUP($A25,商品台帳!$M$4:$P$26,3,0))</f>
        <v/>
      </c>
      <c r="E25" s="42"/>
      <c r="F25" s="16" t="str">
        <f>IF($A25="","",VLOOKUP($A25,商品台帳!$M$4:$P$26,4,0))</f>
        <v/>
      </c>
      <c r="G25" s="51" t="str">
        <f t="shared" si="0"/>
        <v/>
      </c>
      <c r="H25" s="52"/>
      <c r="J25" s="44"/>
    </row>
    <row r="26" spans="1:10" ht="18" hidden="1" customHeight="1" x14ac:dyDescent="0.35">
      <c r="A26" s="39"/>
      <c r="B26" s="62" t="str">
        <f>IF($A26="","",VLOOKUP($A26,商品台帳!$M$4:$P$26,2,0))</f>
        <v/>
      </c>
      <c r="C26" s="63"/>
      <c r="D26" s="16" t="str">
        <f>IF($A26="","",VLOOKUP($A26,商品台帳!$M$4:$P$26,3,0))</f>
        <v/>
      </c>
      <c r="E26" s="42"/>
      <c r="F26" s="16" t="str">
        <f>IF($A26="","",VLOOKUP($A26,商品台帳!$M$4:$P$26,4,0))</f>
        <v/>
      </c>
      <c r="G26" s="51" t="str">
        <f t="shared" si="0"/>
        <v/>
      </c>
      <c r="H26" s="52"/>
      <c r="J26" s="44"/>
    </row>
    <row r="27" spans="1:10" ht="18" hidden="1" customHeight="1" x14ac:dyDescent="0.35">
      <c r="A27" s="39"/>
      <c r="B27" s="62" t="str">
        <f>IF($A27="","",VLOOKUP($A27,商品台帳!$M$4:$P$26,2,0))</f>
        <v/>
      </c>
      <c r="C27" s="63"/>
      <c r="D27" s="16" t="str">
        <f>IF($A27="","",VLOOKUP($A27,商品台帳!$M$4:$P$26,3,0))</f>
        <v/>
      </c>
      <c r="E27" s="42"/>
      <c r="F27" s="16" t="str">
        <f>IF($A27="","",VLOOKUP($A27,商品台帳!$M$4:$P$26,4,0))</f>
        <v/>
      </c>
      <c r="G27" s="51" t="str">
        <f t="shared" si="0"/>
        <v/>
      </c>
      <c r="H27" s="52"/>
      <c r="J27" s="44"/>
    </row>
    <row r="28" spans="1:10" ht="18" hidden="1" customHeight="1" x14ac:dyDescent="0.35">
      <c r="A28" s="39"/>
      <c r="B28" s="62" t="str">
        <f>IF($A28="","",VLOOKUP($A28,商品台帳!$M$4:$P$26,2,0))</f>
        <v/>
      </c>
      <c r="C28" s="63"/>
      <c r="D28" s="16" t="str">
        <f>IF($A28="","",VLOOKUP($A28,商品台帳!$M$4:$P$26,3,0))</f>
        <v/>
      </c>
      <c r="E28" s="42"/>
      <c r="F28" s="16" t="str">
        <f>IF($A28="","",VLOOKUP($A28,商品台帳!$M$4:$P$26,4,0))</f>
        <v/>
      </c>
      <c r="G28" s="51" t="str">
        <f t="shared" si="0"/>
        <v/>
      </c>
      <c r="H28" s="52"/>
      <c r="J28" s="44"/>
    </row>
    <row r="29" spans="1:10" ht="18" hidden="1" customHeight="1" x14ac:dyDescent="0.35">
      <c r="A29" s="39"/>
      <c r="B29" s="62" t="str">
        <f>IF($A29="","",VLOOKUP($A29,商品台帳!$M$4:$P$26,2,0))</f>
        <v/>
      </c>
      <c r="C29" s="63"/>
      <c r="D29" s="16" t="str">
        <f>IF($A29="","",VLOOKUP($A29,商品台帳!$M$4:$P$26,3,0))</f>
        <v/>
      </c>
      <c r="E29" s="42"/>
      <c r="F29" s="16" t="str">
        <f>IF($A29="","",VLOOKUP($A29,商品台帳!$M$4:$P$26,4,0))</f>
        <v/>
      </c>
      <c r="G29" s="51" t="str">
        <f t="shared" si="0"/>
        <v/>
      </c>
      <c r="H29" s="52"/>
      <c r="J29" s="44"/>
    </row>
    <row r="30" spans="1:10" ht="18" hidden="1" customHeight="1" x14ac:dyDescent="0.35">
      <c r="A30" s="39"/>
      <c r="B30" s="62" t="str">
        <f>IF($A30="","",VLOOKUP($A30,商品台帳!$M$4:$P$26,2,0))</f>
        <v/>
      </c>
      <c r="C30" s="63"/>
      <c r="D30" s="16" t="str">
        <f>IF($A30="","",VLOOKUP($A30,商品台帳!$M$4:$P$26,3,0))</f>
        <v/>
      </c>
      <c r="E30" s="42"/>
      <c r="F30" s="16" t="str">
        <f>IF($A30="","",VLOOKUP($A30,商品台帳!$M$4:$P$26,4,0))</f>
        <v/>
      </c>
      <c r="G30" s="51" t="str">
        <f t="shared" si="0"/>
        <v/>
      </c>
      <c r="H30" s="52"/>
      <c r="J30" s="44"/>
    </row>
    <row r="31" spans="1:10" ht="18" hidden="1" customHeight="1" x14ac:dyDescent="0.35">
      <c r="A31" s="39"/>
      <c r="B31" s="62" t="str">
        <f>IF($A31="","",VLOOKUP($A31,商品台帳!$M$4:$P$26,2,0))</f>
        <v/>
      </c>
      <c r="C31" s="63"/>
      <c r="D31" s="16" t="str">
        <f>IF($A31="","",VLOOKUP($A31,商品台帳!$M$4:$P$26,3,0))</f>
        <v/>
      </c>
      <c r="E31" s="42"/>
      <c r="F31" s="16" t="str">
        <f>IF($A31="","",VLOOKUP($A31,商品台帳!$M$4:$P$26,4,0))</f>
        <v/>
      </c>
      <c r="G31" s="51" t="str">
        <f t="shared" si="0"/>
        <v/>
      </c>
      <c r="H31" s="52"/>
      <c r="J31" s="44"/>
    </row>
    <row r="32" spans="1:10" ht="18" customHeight="1" thickBot="1" x14ac:dyDescent="0.4">
      <c r="A32" s="40"/>
      <c r="B32" s="85" t="str">
        <f>IF($A32="","",VLOOKUP($A32,商品台帳!$M$4:$P$26,2,0))</f>
        <v/>
      </c>
      <c r="C32" s="86"/>
      <c r="D32" s="17" t="str">
        <f>IF($A32="","",VLOOKUP($A32,商品台帳!$M$4:$P$26,3,0))</f>
        <v/>
      </c>
      <c r="E32" s="43"/>
      <c r="F32" s="17" t="str">
        <f>IF($A32="","",VLOOKUP($A32,商品台帳!$M$4:$P$26,4,0))</f>
        <v/>
      </c>
      <c r="G32" s="83" t="str">
        <f t="shared" si="0"/>
        <v/>
      </c>
      <c r="H32" s="84"/>
      <c r="J32" s="44"/>
    </row>
    <row r="33" spans="1:9" ht="18" customHeight="1" thickTop="1" x14ac:dyDescent="0.35">
      <c r="A33" s="12"/>
      <c r="B33" s="12"/>
      <c r="C33" s="12"/>
      <c r="D33" s="14"/>
      <c r="E33" s="72" t="s">
        <v>25</v>
      </c>
      <c r="F33" s="73"/>
      <c r="G33" s="76">
        <f ca="1">SUM(G13:H32)</f>
        <v>4610</v>
      </c>
      <c r="H33" s="77"/>
    </row>
    <row r="34" spans="1:9" ht="18" customHeight="1" x14ac:dyDescent="0.35">
      <c r="A34" s="13"/>
      <c r="B34" s="13"/>
      <c r="C34" s="13"/>
      <c r="D34" s="14"/>
      <c r="E34" s="74" t="s">
        <v>26</v>
      </c>
      <c r="F34" s="75"/>
      <c r="G34" s="76">
        <f ca="1">ROUNDDOWN(G33*8%,0)</f>
        <v>368</v>
      </c>
      <c r="H34" s="77"/>
      <c r="I34" s="22"/>
    </row>
    <row r="35" spans="1:9" ht="18" customHeight="1" thickBot="1" x14ac:dyDescent="0.4">
      <c r="A35" s="13"/>
      <c r="B35" s="13"/>
      <c r="C35" s="13"/>
      <c r="D35" s="14"/>
      <c r="E35" s="70" t="s">
        <v>27</v>
      </c>
      <c r="F35" s="71"/>
      <c r="G35" s="66">
        <v>0</v>
      </c>
      <c r="H35" s="67"/>
    </row>
    <row r="36" spans="1:9" ht="18" customHeight="1" thickTop="1" thickBot="1" x14ac:dyDescent="0.4">
      <c r="A36" s="13"/>
      <c r="B36" s="13"/>
      <c r="C36" s="13"/>
      <c r="D36" s="14"/>
      <c r="E36" s="64" t="s">
        <v>16</v>
      </c>
      <c r="F36" s="65"/>
      <c r="G36" s="68">
        <f ca="1">G33+G34-G35</f>
        <v>4978</v>
      </c>
      <c r="H36" s="69"/>
    </row>
    <row r="37" spans="1:9" ht="13.5" customHeight="1" thickBot="1" x14ac:dyDescent="0.4">
      <c r="A37" s="4"/>
      <c r="B37" s="4"/>
      <c r="C37" s="4"/>
      <c r="D37" s="4"/>
      <c r="E37" s="4"/>
      <c r="F37" s="4"/>
      <c r="G37" s="4"/>
      <c r="H37" s="6"/>
    </row>
    <row r="38" spans="1:9" ht="13.5" customHeight="1" x14ac:dyDescent="0.35">
      <c r="A38" s="7" t="s">
        <v>14</v>
      </c>
      <c r="B38" s="8"/>
      <c r="C38" s="8"/>
      <c r="D38" s="8"/>
      <c r="E38" s="8"/>
      <c r="F38" s="8"/>
      <c r="G38" s="8"/>
      <c r="H38" s="9"/>
    </row>
    <row r="39" spans="1:9" ht="13.5" customHeight="1" x14ac:dyDescent="0.35">
      <c r="A39" s="45"/>
      <c r="B39" s="46"/>
      <c r="C39" s="46"/>
      <c r="D39" s="46"/>
      <c r="E39" s="46"/>
      <c r="F39" s="46"/>
      <c r="G39" s="46"/>
      <c r="H39" s="47"/>
    </row>
    <row r="40" spans="1:9" ht="13.5" customHeight="1" x14ac:dyDescent="0.35">
      <c r="A40" s="45"/>
      <c r="B40" s="46"/>
      <c r="C40" s="46"/>
      <c r="D40" s="46"/>
      <c r="E40" s="46"/>
      <c r="F40" s="46"/>
      <c r="G40" s="46"/>
      <c r="H40" s="47"/>
    </row>
    <row r="41" spans="1:9" ht="13.5" customHeight="1" x14ac:dyDescent="0.35">
      <c r="A41" s="45"/>
      <c r="B41" s="46"/>
      <c r="C41" s="46"/>
      <c r="D41" s="46"/>
      <c r="E41" s="46"/>
      <c r="F41" s="46"/>
      <c r="G41" s="46"/>
      <c r="H41" s="47"/>
    </row>
    <row r="42" spans="1:9" ht="13.5" customHeight="1" x14ac:dyDescent="0.35">
      <c r="A42" s="45"/>
      <c r="B42" s="46"/>
      <c r="C42" s="46"/>
      <c r="D42" s="46"/>
      <c r="E42" s="46"/>
      <c r="F42" s="46"/>
      <c r="G42" s="46"/>
      <c r="H42" s="47"/>
    </row>
    <row r="43" spans="1:9" ht="13.5" customHeight="1" thickBot="1" x14ac:dyDescent="0.4">
      <c r="A43" s="48"/>
      <c r="B43" s="49"/>
      <c r="C43" s="49"/>
      <c r="D43" s="49"/>
      <c r="E43" s="49"/>
      <c r="F43" s="49"/>
      <c r="G43" s="49"/>
      <c r="H43" s="50"/>
    </row>
  </sheetData>
  <sheetProtection sheet="1" objects="1" scenarios="1"/>
  <mergeCells count="62">
    <mergeCell ref="B23:C23"/>
    <mergeCell ref="B24:C24"/>
    <mergeCell ref="B25:C25"/>
    <mergeCell ref="B31:C31"/>
    <mergeCell ref="B32:C32"/>
    <mergeCell ref="B26:C26"/>
    <mergeCell ref="B27:C27"/>
    <mergeCell ref="B28:C28"/>
    <mergeCell ref="B29:C29"/>
    <mergeCell ref="B30:C30"/>
    <mergeCell ref="B15:C15"/>
    <mergeCell ref="B16:C16"/>
    <mergeCell ref="B17:C17"/>
    <mergeCell ref="B21:C21"/>
    <mergeCell ref="B22:C22"/>
    <mergeCell ref="B18:C18"/>
    <mergeCell ref="B19:C19"/>
    <mergeCell ref="B20:C20"/>
    <mergeCell ref="G28:H28"/>
    <mergeCell ref="G8:H8"/>
    <mergeCell ref="G9:H9"/>
    <mergeCell ref="G21:H21"/>
    <mergeCell ref="G33:H33"/>
    <mergeCell ref="G29:H29"/>
    <mergeCell ref="G30:H30"/>
    <mergeCell ref="G31:H31"/>
    <mergeCell ref="G15:H15"/>
    <mergeCell ref="G12:H12"/>
    <mergeCell ref="G13:H13"/>
    <mergeCell ref="G32:H32"/>
    <mergeCell ref="G16:H16"/>
    <mergeCell ref="G23:H23"/>
    <mergeCell ref="G24:H24"/>
    <mergeCell ref="G25:H25"/>
    <mergeCell ref="E36:F36"/>
    <mergeCell ref="G35:H35"/>
    <mergeCell ref="G36:H36"/>
    <mergeCell ref="E35:F35"/>
    <mergeCell ref="E33:F33"/>
    <mergeCell ref="E34:F34"/>
    <mergeCell ref="G34:H34"/>
    <mergeCell ref="G14:H14"/>
    <mergeCell ref="G6:H6"/>
    <mergeCell ref="B12:C12"/>
    <mergeCell ref="F1:H1"/>
    <mergeCell ref="A4:B4"/>
    <mergeCell ref="F5:H5"/>
    <mergeCell ref="A1:D1"/>
    <mergeCell ref="B13:C13"/>
    <mergeCell ref="B14:C14"/>
    <mergeCell ref="G17:H17"/>
    <mergeCell ref="G18:H18"/>
    <mergeCell ref="G19:H19"/>
    <mergeCell ref="G20:H20"/>
    <mergeCell ref="G27:H27"/>
    <mergeCell ref="G22:H22"/>
    <mergeCell ref="G26:H26"/>
    <mergeCell ref="A39:H39"/>
    <mergeCell ref="A40:H40"/>
    <mergeCell ref="A41:H41"/>
    <mergeCell ref="A42:H42"/>
    <mergeCell ref="A43:H43"/>
  </mergeCells>
  <phoneticPr fontId="3"/>
  <dataValidations count="3">
    <dataValidation type="list" allowBlank="1" showInputMessage="1" showErrorMessage="1" errorTitle="取引種類エラー" error="「小売」または「卸」を入力してください。" sqref="H3">
      <formula1>"小売,卸"</formula1>
    </dataValidation>
    <dataValidation type="whole" imeMode="disabled" operator="greaterThanOrEqual" allowBlank="1" showInputMessage="1" showErrorMessage="1" errorTitle="数量エラー" error="数量は1以上の整数です。" sqref="E13:E32">
      <formula1>1</formula1>
    </dataValidation>
    <dataValidation type="whole" imeMode="disabled" showInputMessage="1" showErrorMessage="1" errorTitle="値引きエラー" error="値引きは0以上、税込金額以下の整数です。" sqref="G35:H35">
      <formula1>0</formula1>
      <formula2>G33+G34</formula2>
    </dataValidation>
  </dataValidations>
  <pageMargins left="0.59055118110236227" right="0.39370078740157483" top="0.59055118110236227" bottom="0.59055118110236227" header="0.19685039370078741" footer="0.19685039370078741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商品台帳!$M$4:$M$26</xm:f>
          </x14:formula1>
          <xm:sqref>A13:A32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P27"/>
  <sheetViews>
    <sheetView zoomScale="115" zoomScaleNormal="115" workbookViewId="0"/>
  </sheetViews>
  <sheetFormatPr defaultRowHeight="13.5" x14ac:dyDescent="0.35"/>
  <cols>
    <col min="1" max="1" width="3" style="25" customWidth="1"/>
    <col min="2" max="2" width="9.42578125" style="25" bestFit="1" customWidth="1"/>
    <col min="3" max="3" width="37.28515625" style="25" customWidth="1"/>
    <col min="4" max="4" width="9.28515625" style="25" customWidth="1"/>
    <col min="5" max="5" width="10.28515625" style="25" customWidth="1"/>
    <col min="6" max="6" width="4.42578125" style="25" customWidth="1"/>
    <col min="7" max="7" width="9.42578125" style="25" bestFit="1" customWidth="1"/>
    <col min="8" max="8" width="37.28515625" style="25" customWidth="1"/>
    <col min="9" max="9" width="9.28515625" style="25" customWidth="1"/>
    <col min="10" max="10" width="10.28515625" style="25" customWidth="1"/>
    <col min="11" max="11" width="9.140625" style="25"/>
    <col min="12" max="12" width="4" style="25" bestFit="1" customWidth="1"/>
    <col min="13" max="13" width="6.5703125" style="25" bestFit="1" customWidth="1"/>
    <col min="14" max="14" width="40.28515625" style="25" bestFit="1" customWidth="1"/>
    <col min="15" max="16" width="6.28515625" style="25" bestFit="1" customWidth="1"/>
    <col min="17" max="16384" width="9.140625" style="25"/>
  </cols>
  <sheetData>
    <row r="1" spans="2:16" ht="18.75" x14ac:dyDescent="0.35">
      <c r="B1" s="23" t="s">
        <v>29</v>
      </c>
      <c r="C1" s="23"/>
      <c r="D1" s="24"/>
      <c r="G1" s="23"/>
      <c r="H1" s="26"/>
      <c r="I1" s="26"/>
    </row>
    <row r="2" spans="2:16" ht="18.75" x14ac:dyDescent="0.35">
      <c r="B2" s="27" t="s">
        <v>30</v>
      </c>
      <c r="C2" s="27"/>
      <c r="D2" s="26"/>
      <c r="G2" s="27" t="s">
        <v>31</v>
      </c>
      <c r="M2" s="25" t="str">
        <f>IF(見積書!H3="小売","G2","B2")</f>
        <v>G2</v>
      </c>
    </row>
    <row r="3" spans="2:16" ht="20.100000000000001" customHeight="1" x14ac:dyDescent="0.35">
      <c r="B3" s="28" t="s">
        <v>32</v>
      </c>
      <c r="C3" s="28" t="s">
        <v>33</v>
      </c>
      <c r="D3" s="28" t="s">
        <v>34</v>
      </c>
      <c r="E3" s="28" t="s">
        <v>35</v>
      </c>
      <c r="G3" s="28" t="s">
        <v>32</v>
      </c>
      <c r="H3" s="28" t="s">
        <v>33</v>
      </c>
      <c r="I3" s="28" t="s">
        <v>34</v>
      </c>
      <c r="J3" s="28" t="s">
        <v>35</v>
      </c>
      <c r="M3" s="25">
        <v>0</v>
      </c>
      <c r="N3" s="25">
        <v>1</v>
      </c>
      <c r="O3" s="25">
        <v>2</v>
      </c>
      <c r="P3" s="25">
        <v>3</v>
      </c>
    </row>
    <row r="4" spans="2:16" ht="15.95" customHeight="1" x14ac:dyDescent="0.35">
      <c r="B4" s="29" t="s">
        <v>36</v>
      </c>
      <c r="C4" s="29" t="s">
        <v>37</v>
      </c>
      <c r="D4" s="30">
        <v>135</v>
      </c>
      <c r="E4" s="30">
        <v>300</v>
      </c>
      <c r="F4" s="31" t="str">
        <f>IF(OR(COUNTIF($B$4:$B$26,B4)&gt;1,COUNTIF($C:$C,$C4)&gt;1),"O","")</f>
        <v/>
      </c>
      <c r="G4" s="29" t="s">
        <v>82</v>
      </c>
      <c r="H4" s="29" t="s">
        <v>37</v>
      </c>
      <c r="I4" s="30">
        <v>225</v>
      </c>
      <c r="J4" s="30">
        <v>300</v>
      </c>
      <c r="L4" s="25">
        <v>2</v>
      </c>
      <c r="M4" s="25" t="str">
        <f ca="1">OFFSET(INDIRECT($M$2),$L4,M$3)</f>
        <v>C001</v>
      </c>
      <c r="N4" s="25" t="str">
        <f t="shared" ref="N4:P19" ca="1" si="0">OFFSET(INDIRECT($M$2),$L4,N$3)</f>
        <v>きびだんご　10個入り（プレーン）</v>
      </c>
      <c r="O4" s="25">
        <f t="shared" ca="1" si="0"/>
        <v>225</v>
      </c>
      <c r="P4" s="25">
        <f t="shared" ca="1" si="0"/>
        <v>300</v>
      </c>
    </row>
    <row r="5" spans="2:16" ht="15.95" customHeight="1" x14ac:dyDescent="0.35">
      <c r="B5" s="29" t="s">
        <v>38</v>
      </c>
      <c r="C5" s="29" t="s">
        <v>39</v>
      </c>
      <c r="D5" s="30">
        <v>150</v>
      </c>
      <c r="E5" s="30">
        <v>300</v>
      </c>
      <c r="F5" s="31"/>
      <c r="G5" s="29" t="s">
        <v>38</v>
      </c>
      <c r="H5" s="29" t="s">
        <v>39</v>
      </c>
      <c r="I5" s="30">
        <v>225</v>
      </c>
      <c r="J5" s="30">
        <v>300</v>
      </c>
      <c r="L5" s="25">
        <v>3</v>
      </c>
      <c r="M5" s="25" t="str">
        <f t="shared" ref="M5:P26" ca="1" si="1">OFFSET(INDIRECT($M$2),$L5,M$3)</f>
        <v>C002</v>
      </c>
      <c r="N5" s="25" t="str">
        <f t="shared" ca="1" si="0"/>
        <v>きびだんご　10個入り（チョコ）</v>
      </c>
      <c r="O5" s="25">
        <f t="shared" ca="1" si="0"/>
        <v>225</v>
      </c>
      <c r="P5" s="25">
        <f t="shared" ca="1" si="0"/>
        <v>300</v>
      </c>
    </row>
    <row r="6" spans="2:16" ht="15.95" customHeight="1" x14ac:dyDescent="0.35">
      <c r="B6" s="29" t="s">
        <v>40</v>
      </c>
      <c r="C6" s="29" t="s">
        <v>41</v>
      </c>
      <c r="D6" s="30">
        <v>491</v>
      </c>
      <c r="E6" s="30">
        <v>1092</v>
      </c>
      <c r="F6" s="31"/>
      <c r="G6" s="29" t="s">
        <v>40</v>
      </c>
      <c r="H6" s="29" t="s">
        <v>41</v>
      </c>
      <c r="I6" s="30">
        <v>819</v>
      </c>
      <c r="J6" s="30">
        <v>1092</v>
      </c>
      <c r="L6" s="25">
        <v>4</v>
      </c>
      <c r="M6" s="25" t="str">
        <f t="shared" ca="1" si="1"/>
        <v>C003</v>
      </c>
      <c r="N6" s="25" t="str">
        <f t="shared" ca="1" si="0"/>
        <v>きびだんご三昧　30個入りセット</v>
      </c>
      <c r="O6" s="25">
        <f t="shared" ca="1" si="0"/>
        <v>819</v>
      </c>
      <c r="P6" s="25">
        <f t="shared" ca="1" si="0"/>
        <v>1092</v>
      </c>
    </row>
    <row r="7" spans="2:16" ht="15.95" customHeight="1" x14ac:dyDescent="0.35">
      <c r="B7" s="29" t="s">
        <v>42</v>
      </c>
      <c r="C7" s="29" t="s">
        <v>43</v>
      </c>
      <c r="D7" s="30">
        <v>945</v>
      </c>
      <c r="E7" s="30">
        <v>2100</v>
      </c>
      <c r="F7" s="31"/>
      <c r="G7" s="29" t="s">
        <v>42</v>
      </c>
      <c r="H7" s="29" t="s">
        <v>43</v>
      </c>
      <c r="I7" s="30">
        <v>1575</v>
      </c>
      <c r="J7" s="30">
        <v>2100</v>
      </c>
      <c r="L7" s="25">
        <v>5</v>
      </c>
      <c r="M7" s="25" t="str">
        <f t="shared" ca="1" si="1"/>
        <v>C005</v>
      </c>
      <c r="N7" s="25" t="str">
        <f t="shared" ca="1" si="0"/>
        <v>ひよこ饅頭　24個入り</v>
      </c>
      <c r="O7" s="25">
        <f t="shared" ca="1" si="0"/>
        <v>1575</v>
      </c>
      <c r="P7" s="25">
        <f t="shared" ca="1" si="0"/>
        <v>2100</v>
      </c>
    </row>
    <row r="8" spans="2:16" ht="15.95" customHeight="1" x14ac:dyDescent="0.35">
      <c r="B8" s="29" t="s">
        <v>44</v>
      </c>
      <c r="C8" s="29" t="s">
        <v>45</v>
      </c>
      <c r="D8" s="30">
        <v>325</v>
      </c>
      <c r="E8" s="30">
        <v>650</v>
      </c>
      <c r="F8" s="31"/>
      <c r="G8" s="29" t="s">
        <v>44</v>
      </c>
      <c r="H8" s="29" t="s">
        <v>45</v>
      </c>
      <c r="I8" s="30">
        <v>487</v>
      </c>
      <c r="J8" s="30">
        <v>650</v>
      </c>
      <c r="L8" s="25">
        <v>6</v>
      </c>
      <c r="M8" s="25" t="str">
        <f t="shared" ca="1" si="1"/>
        <v>C006</v>
      </c>
      <c r="N8" s="25" t="str">
        <f t="shared" ca="1" si="0"/>
        <v>パリパリかにせんべい　10枚入り</v>
      </c>
      <c r="O8" s="25">
        <f t="shared" ca="1" si="0"/>
        <v>487</v>
      </c>
      <c r="P8" s="25">
        <f t="shared" ca="1" si="0"/>
        <v>650</v>
      </c>
    </row>
    <row r="9" spans="2:16" ht="15.95" customHeight="1" x14ac:dyDescent="0.35">
      <c r="B9" s="29" t="s">
        <v>46</v>
      </c>
      <c r="C9" s="29" t="s">
        <v>47</v>
      </c>
      <c r="D9" s="30">
        <v>472</v>
      </c>
      <c r="E9" s="30">
        <v>1050</v>
      </c>
      <c r="F9" s="31"/>
      <c r="G9" s="29" t="s">
        <v>46</v>
      </c>
      <c r="H9" s="29" t="s">
        <v>47</v>
      </c>
      <c r="I9" s="30">
        <v>787</v>
      </c>
      <c r="J9" s="30">
        <v>1050</v>
      </c>
      <c r="L9" s="25">
        <v>7</v>
      </c>
      <c r="M9" s="25" t="str">
        <f t="shared" ca="1" si="1"/>
        <v>C007</v>
      </c>
      <c r="N9" s="25" t="str">
        <f t="shared" ca="1" si="0"/>
        <v>パリパリかにせんべい　36枚入り</v>
      </c>
      <c r="O9" s="25">
        <f t="shared" ca="1" si="0"/>
        <v>787</v>
      </c>
      <c r="P9" s="25">
        <f t="shared" ca="1" si="0"/>
        <v>1050</v>
      </c>
    </row>
    <row r="10" spans="2:16" ht="15.95" customHeight="1" x14ac:dyDescent="0.35">
      <c r="B10" s="29" t="s">
        <v>48</v>
      </c>
      <c r="C10" s="29" t="s">
        <v>49</v>
      </c>
      <c r="D10" s="30">
        <v>1575</v>
      </c>
      <c r="E10" s="30">
        <v>3150</v>
      </c>
      <c r="F10" s="31"/>
      <c r="G10" s="29" t="s">
        <v>48</v>
      </c>
      <c r="H10" s="29" t="s">
        <v>49</v>
      </c>
      <c r="I10" s="30">
        <v>2362</v>
      </c>
      <c r="J10" s="30">
        <v>3150</v>
      </c>
      <c r="L10" s="25">
        <v>8</v>
      </c>
      <c r="M10" s="25" t="str">
        <f t="shared" ca="1" si="1"/>
        <v>C008</v>
      </c>
      <c r="N10" s="25" t="str">
        <f t="shared" ca="1" si="0"/>
        <v>白雪　マドレーヌ　12個入り</v>
      </c>
      <c r="O10" s="25">
        <f t="shared" ca="1" si="0"/>
        <v>2362</v>
      </c>
      <c r="P10" s="25">
        <f t="shared" ca="1" si="0"/>
        <v>3150</v>
      </c>
    </row>
    <row r="11" spans="2:16" ht="15.95" customHeight="1" x14ac:dyDescent="0.35">
      <c r="B11" s="29" t="s">
        <v>50</v>
      </c>
      <c r="C11" s="29" t="s">
        <v>51</v>
      </c>
      <c r="D11" s="30">
        <v>1890</v>
      </c>
      <c r="E11" s="30">
        <v>4200</v>
      </c>
      <c r="F11" s="31"/>
      <c r="G11" s="29" t="s">
        <v>50</v>
      </c>
      <c r="H11" s="29" t="s">
        <v>51</v>
      </c>
      <c r="I11" s="30">
        <v>3150</v>
      </c>
      <c r="J11" s="30">
        <v>4200</v>
      </c>
      <c r="L11" s="25">
        <v>9</v>
      </c>
      <c r="M11" s="25" t="str">
        <f t="shared" ca="1" si="1"/>
        <v>C009</v>
      </c>
      <c r="N11" s="25" t="str">
        <f t="shared" ca="1" si="0"/>
        <v>白雪　マドレーヌ　24個入り</v>
      </c>
      <c r="O11" s="25">
        <f t="shared" ca="1" si="0"/>
        <v>3150</v>
      </c>
      <c r="P11" s="25">
        <f t="shared" ca="1" si="0"/>
        <v>4200</v>
      </c>
    </row>
    <row r="12" spans="2:16" ht="15.95" customHeight="1" x14ac:dyDescent="0.35">
      <c r="B12" s="29" t="s">
        <v>52</v>
      </c>
      <c r="C12" s="29" t="s">
        <v>53</v>
      </c>
      <c r="D12" s="30">
        <v>675</v>
      </c>
      <c r="E12" s="30">
        <v>1500</v>
      </c>
      <c r="F12" s="31"/>
      <c r="G12" s="29" t="s">
        <v>52</v>
      </c>
      <c r="H12" s="29" t="s">
        <v>53</v>
      </c>
      <c r="I12" s="30">
        <v>1125</v>
      </c>
      <c r="J12" s="30">
        <v>1500</v>
      </c>
      <c r="L12" s="25">
        <v>10</v>
      </c>
      <c r="M12" s="25" t="str">
        <f t="shared" ca="1" si="1"/>
        <v>C011</v>
      </c>
      <c r="N12" s="25" t="str">
        <f t="shared" ca="1" si="0"/>
        <v>ずんだどら焼き　10個入り</v>
      </c>
      <c r="O12" s="25">
        <f t="shared" ca="1" si="0"/>
        <v>1125</v>
      </c>
      <c r="P12" s="25">
        <f t="shared" ca="1" si="0"/>
        <v>1500</v>
      </c>
    </row>
    <row r="13" spans="2:16" ht="15.95" customHeight="1" x14ac:dyDescent="0.35">
      <c r="B13" s="29" t="s">
        <v>54</v>
      </c>
      <c r="C13" s="29" t="s">
        <v>55</v>
      </c>
      <c r="D13" s="30">
        <v>1400</v>
      </c>
      <c r="E13" s="30">
        <v>2800</v>
      </c>
      <c r="F13" s="31"/>
      <c r="G13" s="29" t="s">
        <v>54</v>
      </c>
      <c r="H13" s="29" t="s">
        <v>55</v>
      </c>
      <c r="I13" s="30">
        <v>2100</v>
      </c>
      <c r="J13" s="30">
        <v>2800</v>
      </c>
      <c r="L13" s="25">
        <v>11</v>
      </c>
      <c r="M13" s="25" t="str">
        <f t="shared" ca="1" si="1"/>
        <v>C012</v>
      </c>
      <c r="N13" s="25" t="str">
        <f t="shared" ca="1" si="0"/>
        <v>ずんだどら焼き　20個入り</v>
      </c>
      <c r="O13" s="25">
        <f t="shared" ca="1" si="0"/>
        <v>2100</v>
      </c>
      <c r="P13" s="25">
        <f t="shared" ca="1" si="0"/>
        <v>2800</v>
      </c>
    </row>
    <row r="14" spans="2:16" ht="15.95" customHeight="1" x14ac:dyDescent="0.35">
      <c r="B14" s="29" t="s">
        <v>56</v>
      </c>
      <c r="C14" s="29" t="s">
        <v>57</v>
      </c>
      <c r="D14" s="30">
        <v>675</v>
      </c>
      <c r="E14" s="30">
        <v>1500</v>
      </c>
      <c r="F14" s="31"/>
      <c r="G14" s="29" t="s">
        <v>56</v>
      </c>
      <c r="H14" s="29" t="s">
        <v>57</v>
      </c>
      <c r="I14" s="30">
        <v>1125</v>
      </c>
      <c r="J14" s="30">
        <v>1500</v>
      </c>
      <c r="L14" s="25">
        <v>12</v>
      </c>
      <c r="M14" s="25" t="str">
        <f t="shared" ca="1" si="1"/>
        <v>C013</v>
      </c>
      <c r="N14" s="25" t="str">
        <f t="shared" ca="1" si="0"/>
        <v>仙台名物　バリバリせんべい　30枚入り</v>
      </c>
      <c r="O14" s="25">
        <f t="shared" ca="1" si="0"/>
        <v>1125</v>
      </c>
      <c r="P14" s="25">
        <f t="shared" ca="1" si="0"/>
        <v>1500</v>
      </c>
    </row>
    <row r="15" spans="2:16" ht="15.95" customHeight="1" x14ac:dyDescent="0.35">
      <c r="B15" s="29" t="s">
        <v>58</v>
      </c>
      <c r="C15" s="29" t="s">
        <v>59</v>
      </c>
      <c r="D15" s="30">
        <v>1250</v>
      </c>
      <c r="E15" s="30">
        <v>2500</v>
      </c>
      <c r="F15" s="31"/>
      <c r="G15" s="29" t="s">
        <v>58</v>
      </c>
      <c r="H15" s="29" t="s">
        <v>59</v>
      </c>
      <c r="I15" s="30">
        <v>1875</v>
      </c>
      <c r="J15" s="30">
        <v>2500</v>
      </c>
      <c r="L15" s="25">
        <v>13</v>
      </c>
      <c r="M15" s="25" t="str">
        <f t="shared" ca="1" si="1"/>
        <v>K010</v>
      </c>
      <c r="N15" s="25" t="str">
        <f t="shared" ca="1" si="0"/>
        <v>ずんだシフォン</v>
      </c>
      <c r="O15" s="25">
        <f t="shared" ca="1" si="0"/>
        <v>1875</v>
      </c>
      <c r="P15" s="25">
        <f t="shared" ca="1" si="0"/>
        <v>2500</v>
      </c>
    </row>
    <row r="16" spans="2:16" ht="15.95" customHeight="1" x14ac:dyDescent="0.35">
      <c r="B16" s="29" t="s">
        <v>60</v>
      </c>
      <c r="C16" s="29" t="s">
        <v>61</v>
      </c>
      <c r="D16" s="30">
        <v>1125</v>
      </c>
      <c r="E16" s="30">
        <v>2500</v>
      </c>
      <c r="F16" s="31"/>
      <c r="G16" s="29" t="s">
        <v>60</v>
      </c>
      <c r="H16" s="29" t="s">
        <v>61</v>
      </c>
      <c r="I16" s="30">
        <v>1875</v>
      </c>
      <c r="J16" s="30">
        <v>2500</v>
      </c>
      <c r="L16" s="25">
        <v>14</v>
      </c>
      <c r="M16" s="25" t="str">
        <f t="shared" ca="1" si="1"/>
        <v>K011</v>
      </c>
      <c r="N16" s="25" t="str">
        <f t="shared" ca="1" si="0"/>
        <v>プリンゴフォン</v>
      </c>
      <c r="O16" s="25">
        <f t="shared" ca="1" si="0"/>
        <v>1875</v>
      </c>
      <c r="P16" s="25">
        <f t="shared" ca="1" si="0"/>
        <v>2500</v>
      </c>
    </row>
    <row r="17" spans="2:16" ht="15.95" customHeight="1" x14ac:dyDescent="0.35">
      <c r="B17" s="29" t="s">
        <v>62</v>
      </c>
      <c r="C17" s="29" t="s">
        <v>63</v>
      </c>
      <c r="D17" s="30">
        <v>1050</v>
      </c>
      <c r="E17" s="30">
        <v>2100</v>
      </c>
      <c r="F17" s="31"/>
      <c r="G17" s="29" t="s">
        <v>62</v>
      </c>
      <c r="H17" s="29" t="s">
        <v>63</v>
      </c>
      <c r="I17" s="30">
        <v>1575</v>
      </c>
      <c r="J17" s="30">
        <v>2100</v>
      </c>
      <c r="L17" s="25">
        <v>15</v>
      </c>
      <c r="M17" s="25" t="str">
        <f t="shared" ca="1" si="1"/>
        <v>K012</v>
      </c>
      <c r="N17" s="25" t="str">
        <f t="shared" ca="1" si="0"/>
        <v>シューラスク　12袋入り</v>
      </c>
      <c r="O17" s="25">
        <f t="shared" ca="1" si="0"/>
        <v>1575</v>
      </c>
      <c r="P17" s="25">
        <f t="shared" ca="1" si="0"/>
        <v>2100</v>
      </c>
    </row>
    <row r="18" spans="2:16" ht="15.95" customHeight="1" x14ac:dyDescent="0.35">
      <c r="B18" s="29" t="s">
        <v>64</v>
      </c>
      <c r="C18" s="29" t="s">
        <v>65</v>
      </c>
      <c r="D18" s="30">
        <v>1890</v>
      </c>
      <c r="E18" s="30">
        <v>4200</v>
      </c>
      <c r="F18" s="31"/>
      <c r="G18" s="29" t="s">
        <v>64</v>
      </c>
      <c r="H18" s="29" t="s">
        <v>65</v>
      </c>
      <c r="I18" s="30">
        <v>3150</v>
      </c>
      <c r="J18" s="30">
        <v>4200</v>
      </c>
      <c r="L18" s="25">
        <v>16</v>
      </c>
      <c r="M18" s="25" t="str">
        <f t="shared" ca="1" si="1"/>
        <v>K013</v>
      </c>
      <c r="N18" s="25" t="str">
        <f t="shared" ca="1" si="0"/>
        <v>シューラスク　24袋入り</v>
      </c>
      <c r="O18" s="25">
        <f t="shared" ca="1" si="0"/>
        <v>3150</v>
      </c>
      <c r="P18" s="25">
        <f t="shared" ca="1" si="0"/>
        <v>4200</v>
      </c>
    </row>
    <row r="19" spans="2:16" ht="15.95" customHeight="1" x14ac:dyDescent="0.35">
      <c r="B19" s="29" t="s">
        <v>66</v>
      </c>
      <c r="C19" s="29" t="s">
        <v>67</v>
      </c>
      <c r="D19" s="30">
        <v>1750</v>
      </c>
      <c r="E19" s="30">
        <v>3500</v>
      </c>
      <c r="F19" s="31" t="str">
        <f t="shared" ref="F19:F26" si="2">IF(OR(COUNTIF($B$4:$B$26,B19)&gt;1,COUNTIF($C:$C,$C19)&gt;1),"O","")</f>
        <v/>
      </c>
      <c r="G19" s="29" t="s">
        <v>66</v>
      </c>
      <c r="H19" s="29" t="s">
        <v>67</v>
      </c>
      <c r="I19" s="30">
        <v>2625</v>
      </c>
      <c r="J19" s="30">
        <v>3500</v>
      </c>
      <c r="L19" s="25">
        <v>17</v>
      </c>
      <c r="M19" s="25" t="str">
        <f t="shared" ca="1" si="1"/>
        <v>K014</v>
      </c>
      <c r="N19" s="25" t="str">
        <f t="shared" ca="1" si="0"/>
        <v>あられいっぱい　1缶</v>
      </c>
      <c r="O19" s="25">
        <f t="shared" ca="1" si="0"/>
        <v>2625</v>
      </c>
      <c r="P19" s="25">
        <f t="shared" ca="1" si="0"/>
        <v>3500</v>
      </c>
    </row>
    <row r="20" spans="2:16" ht="15.95" customHeight="1" x14ac:dyDescent="0.35">
      <c r="B20" s="29" t="s">
        <v>68</v>
      </c>
      <c r="C20" s="29" t="s">
        <v>69</v>
      </c>
      <c r="D20" s="30">
        <v>675</v>
      </c>
      <c r="E20" s="30">
        <v>1500</v>
      </c>
      <c r="F20" s="31" t="str">
        <f t="shared" si="2"/>
        <v/>
      </c>
      <c r="G20" s="29" t="s">
        <v>68</v>
      </c>
      <c r="H20" s="29" t="s">
        <v>69</v>
      </c>
      <c r="I20" s="30">
        <v>1125</v>
      </c>
      <c r="J20" s="30">
        <v>1500</v>
      </c>
      <c r="L20" s="25">
        <v>18</v>
      </c>
      <c r="M20" s="25" t="str">
        <f t="shared" ca="1" si="1"/>
        <v>Y001</v>
      </c>
      <c r="N20" s="25" t="str">
        <f t="shared" ca="1" si="1"/>
        <v>北海道産　たくあん　1kg詰</v>
      </c>
      <c r="O20" s="25">
        <f t="shared" ca="1" si="1"/>
        <v>1125</v>
      </c>
      <c r="P20" s="25">
        <f t="shared" ca="1" si="1"/>
        <v>1500</v>
      </c>
    </row>
    <row r="21" spans="2:16" ht="15.95" customHeight="1" x14ac:dyDescent="0.35">
      <c r="B21" s="29" t="s">
        <v>70</v>
      </c>
      <c r="C21" s="29" t="s">
        <v>71</v>
      </c>
      <c r="D21" s="30">
        <v>1260</v>
      </c>
      <c r="E21" s="30">
        <v>2800</v>
      </c>
      <c r="F21" s="31" t="str">
        <f t="shared" si="2"/>
        <v/>
      </c>
      <c r="G21" s="29" t="s">
        <v>70</v>
      </c>
      <c r="H21" s="29" t="s">
        <v>71</v>
      </c>
      <c r="I21" s="30">
        <v>2100</v>
      </c>
      <c r="J21" s="30">
        <v>2800</v>
      </c>
      <c r="L21" s="25">
        <v>19</v>
      </c>
      <c r="M21" s="25" t="str">
        <f t="shared" ca="1" si="1"/>
        <v>Y002</v>
      </c>
      <c r="N21" s="25" t="str">
        <f t="shared" ca="1" si="1"/>
        <v>北海道産　たくあん　2kg詰</v>
      </c>
      <c r="O21" s="25">
        <f t="shared" ca="1" si="1"/>
        <v>2100</v>
      </c>
      <c r="P21" s="25">
        <f t="shared" ca="1" si="1"/>
        <v>2800</v>
      </c>
    </row>
    <row r="22" spans="2:16" ht="15.95" customHeight="1" x14ac:dyDescent="0.35">
      <c r="B22" s="29" t="s">
        <v>72</v>
      </c>
      <c r="C22" s="29" t="s">
        <v>73</v>
      </c>
      <c r="D22" s="30">
        <v>1417</v>
      </c>
      <c r="E22" s="30">
        <v>3150</v>
      </c>
      <c r="F22" s="31" t="str">
        <f t="shared" si="2"/>
        <v/>
      </c>
      <c r="G22" s="29" t="s">
        <v>72</v>
      </c>
      <c r="H22" s="29" t="s">
        <v>73</v>
      </c>
      <c r="I22" s="30">
        <v>2362</v>
      </c>
      <c r="J22" s="30">
        <v>3150</v>
      </c>
      <c r="L22" s="25">
        <v>20</v>
      </c>
      <c r="M22" s="25" t="str">
        <f t="shared" ca="1" si="1"/>
        <v>Y003</v>
      </c>
      <c r="N22" s="25" t="str">
        <f t="shared" ca="1" si="1"/>
        <v>ぽりぽり漬物「Oh!野菜」　1kg詰</v>
      </c>
      <c r="O22" s="25">
        <f t="shared" ca="1" si="1"/>
        <v>2362</v>
      </c>
      <c r="P22" s="25">
        <f t="shared" ca="1" si="1"/>
        <v>3150</v>
      </c>
    </row>
    <row r="23" spans="2:16" ht="15.95" customHeight="1" x14ac:dyDescent="0.35">
      <c r="B23" s="29" t="s">
        <v>74</v>
      </c>
      <c r="C23" s="29" t="s">
        <v>75</v>
      </c>
      <c r="D23" s="30">
        <v>1050</v>
      </c>
      <c r="E23" s="30">
        <v>2100</v>
      </c>
      <c r="F23" s="31" t="str">
        <f t="shared" si="2"/>
        <v/>
      </c>
      <c r="G23" s="29" t="s">
        <v>74</v>
      </c>
      <c r="H23" s="29" t="s">
        <v>75</v>
      </c>
      <c r="I23" s="30">
        <v>1575</v>
      </c>
      <c r="J23" s="30">
        <v>2100</v>
      </c>
      <c r="L23" s="25">
        <v>21</v>
      </c>
      <c r="M23" s="25" t="str">
        <f t="shared" ca="1" si="1"/>
        <v>Y004</v>
      </c>
      <c r="N23" s="25" t="str">
        <f t="shared" ca="1" si="1"/>
        <v>三陸　わかめ詰め合わせ</v>
      </c>
      <c r="O23" s="25">
        <f t="shared" ca="1" si="1"/>
        <v>1575</v>
      </c>
      <c r="P23" s="25">
        <f t="shared" ca="1" si="1"/>
        <v>2100</v>
      </c>
    </row>
    <row r="24" spans="2:16" ht="15.95" customHeight="1" x14ac:dyDescent="0.35">
      <c r="B24" s="29" t="s">
        <v>76</v>
      </c>
      <c r="C24" s="29" t="s">
        <v>77</v>
      </c>
      <c r="D24" s="30">
        <v>945</v>
      </c>
      <c r="E24" s="30">
        <v>2100</v>
      </c>
      <c r="F24" s="31" t="str">
        <f t="shared" si="2"/>
        <v/>
      </c>
      <c r="G24" s="29" t="s">
        <v>76</v>
      </c>
      <c r="H24" s="29" t="s">
        <v>77</v>
      </c>
      <c r="I24" s="30">
        <v>1575</v>
      </c>
      <c r="J24" s="30">
        <v>2100</v>
      </c>
      <c r="L24" s="25">
        <v>22</v>
      </c>
      <c r="M24" s="25" t="str">
        <f t="shared" ca="1" si="1"/>
        <v>Y005</v>
      </c>
      <c r="N24" s="25" t="str">
        <f t="shared" ca="1" si="1"/>
        <v>わかめ茶　12袋入り</v>
      </c>
      <c r="O24" s="25">
        <f t="shared" ca="1" si="1"/>
        <v>1575</v>
      </c>
      <c r="P24" s="25">
        <f t="shared" ca="1" si="1"/>
        <v>2100</v>
      </c>
    </row>
    <row r="25" spans="2:16" ht="15.95" customHeight="1" x14ac:dyDescent="0.35">
      <c r="B25" s="29" t="s">
        <v>78</v>
      </c>
      <c r="C25" s="29" t="s">
        <v>79</v>
      </c>
      <c r="D25" s="30">
        <v>1250</v>
      </c>
      <c r="E25" s="30">
        <v>2500</v>
      </c>
      <c r="F25" s="31" t="str">
        <f t="shared" si="2"/>
        <v/>
      </c>
      <c r="G25" s="29" t="s">
        <v>78</v>
      </c>
      <c r="H25" s="29" t="s">
        <v>79</v>
      </c>
      <c r="I25" s="30">
        <v>1875</v>
      </c>
      <c r="J25" s="30">
        <v>2500</v>
      </c>
      <c r="L25" s="25">
        <v>23</v>
      </c>
      <c r="M25" s="25" t="str">
        <f t="shared" ca="1" si="1"/>
        <v>Y006</v>
      </c>
      <c r="N25" s="25" t="str">
        <f t="shared" ca="1" si="1"/>
        <v>さば仙台味噌煮　真空パック　5袋入り</v>
      </c>
      <c r="O25" s="25">
        <f t="shared" ca="1" si="1"/>
        <v>1875</v>
      </c>
      <c r="P25" s="25">
        <f t="shared" ca="1" si="1"/>
        <v>2500</v>
      </c>
    </row>
    <row r="26" spans="2:16" ht="15.95" customHeight="1" x14ac:dyDescent="0.35">
      <c r="B26" s="29" t="s">
        <v>80</v>
      </c>
      <c r="C26" s="29" t="s">
        <v>81</v>
      </c>
      <c r="D26" s="30">
        <v>2250</v>
      </c>
      <c r="E26" s="30">
        <v>5000</v>
      </c>
      <c r="F26" s="31" t="str">
        <f t="shared" si="2"/>
        <v/>
      </c>
      <c r="G26" s="29" t="s">
        <v>80</v>
      </c>
      <c r="H26" s="29" t="s">
        <v>81</v>
      </c>
      <c r="I26" s="30">
        <v>3750</v>
      </c>
      <c r="J26" s="30">
        <v>5000</v>
      </c>
      <c r="L26" s="25">
        <v>24</v>
      </c>
      <c r="M26" s="25" t="str">
        <f t="shared" ca="1" si="1"/>
        <v>Y007</v>
      </c>
      <c r="N26" s="25" t="str">
        <f t="shared" ca="1" si="1"/>
        <v>さば仙台味噌煮　真空パック　10袋入り</v>
      </c>
      <c r="O26" s="25">
        <f t="shared" ca="1" si="1"/>
        <v>3750</v>
      </c>
      <c r="P26" s="25">
        <f t="shared" ca="1" si="1"/>
        <v>5000</v>
      </c>
    </row>
    <row r="27" spans="2:16" x14ac:dyDescent="0.35">
      <c r="F27" s="31"/>
    </row>
  </sheetData>
  <sheetProtection sheet="1" objects="1" scenarios="1"/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見積書</vt:lpstr>
      <vt:lpstr>商品台帳</vt:lpstr>
      <vt:lpstr>卸</vt:lpstr>
      <vt:lpstr>小売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2015-06-29T08:50:42Z</dcterms:created>
  <dcterms:modified xsi:type="dcterms:W3CDTF">2015-12-12T05:09:12Z</dcterms:modified>
</cp:coreProperties>
</file>