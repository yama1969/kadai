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ein\OneDrive\デスクトップ\"/>
    </mc:Choice>
  </mc:AlternateContent>
  <xr:revisionPtr revIDLastSave="0" documentId="13_ncr:1_{19069384-A470-4D8D-A3AD-858C37E076D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G4" i="1"/>
  <c r="H4" i="1" s="1"/>
  <c r="G5" i="1"/>
  <c r="H5" i="1" s="1"/>
  <c r="G6" i="1"/>
  <c r="H6" i="1" s="1"/>
  <c r="G7" i="1"/>
  <c r="H7" i="1" s="1"/>
  <c r="G8" i="1"/>
  <c r="H8" i="1" s="1"/>
  <c r="G9" i="1"/>
  <c r="H9" i="1" s="1"/>
  <c r="G10" i="1"/>
  <c r="H10" i="1" s="1"/>
  <c r="G11" i="1"/>
  <c r="H11" i="1" s="1"/>
  <c r="G12" i="1"/>
  <c r="H12" i="1" s="1"/>
  <c r="G13" i="1"/>
  <c r="H13" i="1" s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3" i="1"/>
  <c r="H3" i="1" s="1"/>
  <c r="H1" i="1" l="1"/>
</calcChain>
</file>

<file path=xl/sharedStrings.xml><?xml version="1.0" encoding="utf-8"?>
<sst xmlns="http://schemas.openxmlformats.org/spreadsheetml/2006/main" count="4" uniqueCount="4">
  <si>
    <t>データ数</t>
    <rPh sb="3" eb="4">
      <t>スウ</t>
    </rPh>
    <phoneticPr fontId="1"/>
  </si>
  <si>
    <t>時間[秒]</t>
    <rPh sb="0" eb="2">
      <t>ジカン</t>
    </rPh>
    <rPh sb="3" eb="4">
      <t>ビョウ</t>
    </rPh>
    <phoneticPr fontId="1"/>
  </si>
  <si>
    <t>時間計測</t>
    <rPh sb="0" eb="2">
      <t>ジカン</t>
    </rPh>
    <rPh sb="2" eb="4">
      <t>ケイソク</t>
    </rPh>
    <phoneticPr fontId="1"/>
  </si>
  <si>
    <t>差の二乗</t>
    <rPh sb="0" eb="1">
      <t>サ</t>
    </rPh>
    <rPh sb="2" eb="4">
      <t>ジジョウ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</si>
</sst>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2" xfId="0" applyBorder="1"/>
    <xf numFmtId="0" fontId="3" fillId="2" borderId="2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Sheet1!$F$2</c:f>
              <c:strCache>
                <c:ptCount val="1"/>
                <c:pt idx="0">
                  <c:v>時間[秒]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Sheet1!$E$3:$E$22</c:f>
              <c:numCache>
                <c:formatCode>General</c:formatCode>
                <c:ptCount val="20"/>
                <c:pt idx="0">
                  <c:v>2500</c:v>
                </c:pt>
                <c:pt idx="1">
                  <c:v>5000</c:v>
                </c:pt>
                <c:pt idx="2">
                  <c:v>7500</c:v>
                </c:pt>
                <c:pt idx="3">
                  <c:v>10000</c:v>
                </c:pt>
                <c:pt idx="4">
                  <c:v>12500</c:v>
                </c:pt>
                <c:pt idx="5">
                  <c:v>15000</c:v>
                </c:pt>
                <c:pt idx="6">
                  <c:v>17500</c:v>
                </c:pt>
                <c:pt idx="7">
                  <c:v>20000</c:v>
                </c:pt>
                <c:pt idx="8">
                  <c:v>22500</c:v>
                </c:pt>
                <c:pt idx="9">
                  <c:v>25000</c:v>
                </c:pt>
                <c:pt idx="10">
                  <c:v>27500</c:v>
                </c:pt>
                <c:pt idx="11">
                  <c:v>30000</c:v>
                </c:pt>
                <c:pt idx="12">
                  <c:v>32500</c:v>
                </c:pt>
                <c:pt idx="13">
                  <c:v>35000</c:v>
                </c:pt>
                <c:pt idx="14">
                  <c:v>37500</c:v>
                </c:pt>
                <c:pt idx="15">
                  <c:v>40000</c:v>
                </c:pt>
                <c:pt idx="16">
                  <c:v>42500</c:v>
                </c:pt>
                <c:pt idx="17">
                  <c:v>45000</c:v>
                </c:pt>
                <c:pt idx="18">
                  <c:v>47500</c:v>
                </c:pt>
                <c:pt idx="19">
                  <c:v>50000</c:v>
                </c:pt>
              </c:numCache>
            </c:numRef>
          </c:cat>
          <c:val>
            <c:numRef>
              <c:f>Sheet1!$F$3:$F$22</c:f>
              <c:numCache>
                <c:formatCode>General</c:formatCode>
                <c:ptCount val="20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18</c:v>
                </c:pt>
                <c:pt idx="7">
                  <c:v>20</c:v>
                </c:pt>
                <c:pt idx="8">
                  <c:v>27</c:v>
                </c:pt>
                <c:pt idx="9">
                  <c:v>33</c:v>
                </c:pt>
                <c:pt idx="10">
                  <c:v>40</c:v>
                </c:pt>
                <c:pt idx="11">
                  <c:v>47</c:v>
                </c:pt>
                <c:pt idx="12">
                  <c:v>55</c:v>
                </c:pt>
                <c:pt idx="13">
                  <c:v>66</c:v>
                </c:pt>
                <c:pt idx="14">
                  <c:v>74</c:v>
                </c:pt>
                <c:pt idx="15">
                  <c:v>84</c:v>
                </c:pt>
                <c:pt idx="16">
                  <c:v>97</c:v>
                </c:pt>
                <c:pt idx="17">
                  <c:v>106</c:v>
                </c:pt>
                <c:pt idx="18">
                  <c:v>119</c:v>
                </c:pt>
                <c:pt idx="19">
                  <c:v>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B0-414B-9A61-1EF919F1DDA3}"/>
            </c:ext>
          </c:extLst>
        </c:ser>
        <c:ser>
          <c:idx val="0"/>
          <c:order val="1"/>
          <c:tx>
            <c:strRef>
              <c:f>Sheet1!$G$2</c:f>
              <c:strCache>
                <c:ptCount val="1"/>
                <c:pt idx="0">
                  <c:v>(データ数/4439)^2.02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Sheet1!$G$3:$G$22</c:f>
              <c:numCache>
                <c:formatCode>General</c:formatCode>
                <c:ptCount val="20"/>
                <c:pt idx="0">
                  <c:v>0.31356156586817052</c:v>
                </c:pt>
                <c:pt idx="1">
                  <c:v>1.2717548888393486</c:v>
                </c:pt>
                <c:pt idx="2">
                  <c:v>2.8847471907796058</c:v>
                </c:pt>
                <c:pt idx="3">
                  <c:v>5.1580317020318898</c:v>
                </c:pt>
                <c:pt idx="4">
                  <c:v>8.0954730868559057</c:v>
                </c:pt>
                <c:pt idx="5">
                  <c:v>11.700067043554546</c:v>
                </c:pt>
                <c:pt idx="6">
                  <c:v>15.974264288206397</c:v>
                </c:pt>
                <c:pt idx="7">
                  <c:v>20.920140565330936</c:v>
                </c:pt>
                <c:pt idx="8">
                  <c:v>26.539497376440291</c:v>
                </c:pt>
                <c:pt idx="9">
                  <c:v>32.833926719210396</c:v>
                </c:pt>
                <c:pt idx="10">
                  <c:v>39.804855216626308</c:v>
                </c:pt>
                <c:pt idx="11">
                  <c:v>47.453575571964137</c:v>
                </c:pt>
                <c:pt idx="12">
                  <c:v>55.781269792487933</c:v>
                </c:pt>
                <c:pt idx="13">
                  <c:v>64.789026830792807</c:v>
                </c:pt>
                <c:pt idx="14">
                  <c:v>74.47785630448675</c:v>
                </c:pt>
                <c:pt idx="15">
                  <c:v>84.848699379028943</c:v>
                </c:pt>
                <c:pt idx="16">
                  <c:v>95.902437547086606</c:v>
                </c:pt>
                <c:pt idx="17">
                  <c:v>107.63989981481703</c:v>
                </c:pt>
                <c:pt idx="18">
                  <c:v>120.06186865929411</c:v>
                </c:pt>
                <c:pt idx="19">
                  <c:v>133.169085022698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FB0-414B-9A61-1EF919F1D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4751616"/>
        <c:axId val="1776477952"/>
      </c:lineChart>
      <c:catAx>
        <c:axId val="185475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76477952"/>
        <c:crosses val="autoZero"/>
        <c:auto val="1"/>
        <c:lblAlgn val="ctr"/>
        <c:lblOffset val="100"/>
        <c:noMultiLvlLbl val="0"/>
      </c:catAx>
      <c:valAx>
        <c:axId val="177647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54751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市町村データ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読込と振分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328612</xdr:colOff>
      <xdr:row>1</xdr:row>
      <xdr:rowOff>19050</xdr:rowOff>
    </xdr:from>
    <xdr:to>
      <xdr:col>15</xdr:col>
      <xdr:colOff>100012</xdr:colOff>
      <xdr:row>12</xdr:row>
      <xdr:rowOff>142875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FEBA4A3-568E-4A12-AE32-7EA0CBC6C4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22"/>
  <sheetViews>
    <sheetView tabSelected="1" workbookViewId="0"/>
  </sheetViews>
  <sheetFormatPr defaultRowHeight="18.75" x14ac:dyDescent="0.4"/>
  <cols>
    <col min="1" max="1" width="4.625" customWidth="1"/>
    <col min="4" max="4" width="4.875" customWidth="1"/>
    <col min="5" max="5" width="9" bestFit="1" customWidth="1"/>
    <col min="6" max="6" width="8.625" bestFit="1" customWidth="1"/>
    <col min="7" max="7" width="9.5" bestFit="1" customWidth="1"/>
  </cols>
  <sheetData>
    <row r="1" spans="2:8" x14ac:dyDescent="0.4">
      <c r="E1" s="3"/>
      <c r="F1" s="3">
        <v>4439</v>
      </c>
      <c r="G1" s="3">
        <v>2.02</v>
      </c>
      <c r="H1" s="3">
        <f>SUM(H3:H22)</f>
        <v>21.969850705912954</v>
      </c>
    </row>
    <row r="2" spans="2:8" x14ac:dyDescent="0.4">
      <c r="B2" s="1" t="s">
        <v>2</v>
      </c>
      <c r="C2" s="2" t="b">
        <v>0</v>
      </c>
      <c r="E2" s="4" t="s">
        <v>0</v>
      </c>
      <c r="F2" s="4" t="s">
        <v>1</v>
      </c>
      <c r="G2" s="5" t="str">
        <f>"(データ数/"&amp;F1&amp;")^"&amp;G1</f>
        <v>(データ数/4439)^2.02</v>
      </c>
      <c r="H2" s="4" t="s">
        <v>3</v>
      </c>
    </row>
    <row r="3" spans="2:8" x14ac:dyDescent="0.4">
      <c r="E3" s="3">
        <v>2500</v>
      </c>
      <c r="F3" s="3">
        <v>0</v>
      </c>
      <c r="G3" s="3">
        <f t="shared" ref="G3:G22" si="0">(E3/$F$1)^$G$1</f>
        <v>0.31356156586817052</v>
      </c>
      <c r="H3" s="3">
        <f>(G3-F3)^2</f>
        <v>9.8320855589699038E-2</v>
      </c>
    </row>
    <row r="4" spans="2:8" x14ac:dyDescent="0.4">
      <c r="E4" s="3">
        <v>5000</v>
      </c>
      <c r="F4" s="3">
        <v>3</v>
      </c>
      <c r="G4" s="3">
        <f t="shared" si="0"/>
        <v>1.2717548888393486</v>
      </c>
      <c r="H4" s="3">
        <f t="shared" ref="H4:H22" si="1">(G4-F4)^2</f>
        <v>2.9868311642506922</v>
      </c>
    </row>
    <row r="5" spans="2:8" x14ac:dyDescent="0.4">
      <c r="E5" s="3">
        <v>7500</v>
      </c>
      <c r="F5" s="3">
        <v>4</v>
      </c>
      <c r="G5" s="3">
        <f t="shared" si="0"/>
        <v>2.8847471907796058</v>
      </c>
      <c r="H5" s="3">
        <f t="shared" si="1"/>
        <v>1.2437888284739809</v>
      </c>
    </row>
    <row r="6" spans="2:8" x14ac:dyDescent="0.4">
      <c r="E6" s="3">
        <v>10000</v>
      </c>
      <c r="F6" s="3">
        <v>6</v>
      </c>
      <c r="G6" s="3">
        <f t="shared" si="0"/>
        <v>5.1580317020318898</v>
      </c>
      <c r="H6" s="3">
        <f t="shared" si="1"/>
        <v>0.70891061478331652</v>
      </c>
    </row>
    <row r="7" spans="2:8" x14ac:dyDescent="0.4">
      <c r="E7" s="3">
        <v>12500</v>
      </c>
      <c r="F7" s="3">
        <v>8</v>
      </c>
      <c r="G7" s="3">
        <f t="shared" si="0"/>
        <v>8.0954730868559057</v>
      </c>
      <c r="H7" s="3">
        <f t="shared" si="1"/>
        <v>9.115110313795317E-3</v>
      </c>
    </row>
    <row r="8" spans="2:8" x14ac:dyDescent="0.4">
      <c r="E8" s="3">
        <v>15000</v>
      </c>
      <c r="F8" s="3">
        <v>12</v>
      </c>
      <c r="G8" s="3">
        <f t="shared" si="0"/>
        <v>11.700067043554546</v>
      </c>
      <c r="H8" s="3">
        <f t="shared" si="1"/>
        <v>8.9959778362110887E-2</v>
      </c>
    </row>
    <row r="9" spans="2:8" x14ac:dyDescent="0.4">
      <c r="E9" s="3">
        <v>17500</v>
      </c>
      <c r="F9" s="3">
        <v>18</v>
      </c>
      <c r="G9" s="3">
        <f t="shared" si="0"/>
        <v>15.974264288206397</v>
      </c>
      <c r="H9" s="3">
        <f t="shared" si="1"/>
        <v>4.1036051740359349</v>
      </c>
    </row>
    <row r="10" spans="2:8" x14ac:dyDescent="0.4">
      <c r="E10" s="3">
        <v>20000</v>
      </c>
      <c r="F10" s="3">
        <v>20</v>
      </c>
      <c r="G10" s="3">
        <f t="shared" si="0"/>
        <v>20.920140565330936</v>
      </c>
      <c r="H10" s="3">
        <f t="shared" si="1"/>
        <v>0.84665865996753409</v>
      </c>
    </row>
    <row r="11" spans="2:8" x14ac:dyDescent="0.4">
      <c r="E11" s="3">
        <v>22500</v>
      </c>
      <c r="F11" s="3">
        <v>27</v>
      </c>
      <c r="G11" s="3">
        <f t="shared" si="0"/>
        <v>26.539497376440291</v>
      </c>
      <c r="H11" s="3">
        <f t="shared" si="1"/>
        <v>0.21206266630537479</v>
      </c>
    </row>
    <row r="12" spans="2:8" x14ac:dyDescent="0.4">
      <c r="E12" s="3">
        <v>25000</v>
      </c>
      <c r="F12" s="3">
        <v>33</v>
      </c>
      <c r="G12" s="3">
        <f t="shared" si="0"/>
        <v>32.833926719210396</v>
      </c>
      <c r="H12" s="3">
        <f t="shared" si="1"/>
        <v>2.758033459222263E-2</v>
      </c>
    </row>
    <row r="13" spans="2:8" x14ac:dyDescent="0.4">
      <c r="E13" s="3">
        <v>27500</v>
      </c>
      <c r="F13" s="3">
        <v>40</v>
      </c>
      <c r="G13" s="3">
        <f t="shared" si="0"/>
        <v>39.804855216626308</v>
      </c>
      <c r="H13" s="3">
        <f t="shared" si="1"/>
        <v>3.8081486477965228E-2</v>
      </c>
    </row>
    <row r="14" spans="2:8" x14ac:dyDescent="0.4">
      <c r="E14" s="3">
        <v>30000</v>
      </c>
      <c r="F14" s="3">
        <v>47</v>
      </c>
      <c r="G14" s="3">
        <f t="shared" si="0"/>
        <v>47.453575571964137</v>
      </c>
      <c r="H14" s="3">
        <f t="shared" si="1"/>
        <v>0.20573079948259423</v>
      </c>
    </row>
    <row r="15" spans="2:8" x14ac:dyDescent="0.4">
      <c r="E15" s="3">
        <v>32500</v>
      </c>
      <c r="F15" s="3">
        <v>55</v>
      </c>
      <c r="G15" s="3">
        <f t="shared" si="0"/>
        <v>55.781269792487933</v>
      </c>
      <c r="H15" s="3">
        <f t="shared" si="1"/>
        <v>0.61038248865413791</v>
      </c>
    </row>
    <row r="16" spans="2:8" x14ac:dyDescent="0.4">
      <c r="E16" s="3">
        <v>35000</v>
      </c>
      <c r="F16" s="3">
        <v>66</v>
      </c>
      <c r="G16" s="3">
        <f t="shared" si="0"/>
        <v>64.789026830792807</v>
      </c>
      <c r="H16" s="3">
        <f t="shared" si="1"/>
        <v>1.4664560165397134</v>
      </c>
    </row>
    <row r="17" spans="5:8" x14ac:dyDescent="0.4">
      <c r="E17" s="3">
        <v>37500</v>
      </c>
      <c r="F17" s="3">
        <v>74</v>
      </c>
      <c r="G17" s="3">
        <f t="shared" si="0"/>
        <v>74.47785630448675</v>
      </c>
      <c r="H17" s="3">
        <f t="shared" si="1"/>
        <v>0.22834664773773319</v>
      </c>
    </row>
    <row r="18" spans="5:8" x14ac:dyDescent="0.4">
      <c r="E18" s="3">
        <v>40000</v>
      </c>
      <c r="F18" s="3">
        <v>84</v>
      </c>
      <c r="G18" s="3">
        <f t="shared" si="0"/>
        <v>84.848699379028943</v>
      </c>
      <c r="H18" s="3">
        <f t="shared" si="1"/>
        <v>0.7202906359641138</v>
      </c>
    </row>
    <row r="19" spans="5:8" x14ac:dyDescent="0.4">
      <c r="E19" s="3">
        <v>42500</v>
      </c>
      <c r="F19" s="3">
        <v>97</v>
      </c>
      <c r="G19" s="3">
        <f t="shared" si="0"/>
        <v>95.902437547086606</v>
      </c>
      <c r="H19" s="3">
        <f t="shared" si="1"/>
        <v>1.2046433380452659</v>
      </c>
    </row>
    <row r="20" spans="5:8" x14ac:dyDescent="0.4">
      <c r="E20" s="3">
        <v>45000</v>
      </c>
      <c r="F20" s="3">
        <v>106</v>
      </c>
      <c r="G20" s="3">
        <f t="shared" si="0"/>
        <v>107.63989981481703</v>
      </c>
      <c r="H20" s="3">
        <f t="shared" si="1"/>
        <v>2.6892714026369222</v>
      </c>
    </row>
    <row r="21" spans="5:8" x14ac:dyDescent="0.4">
      <c r="E21" s="3">
        <v>47500</v>
      </c>
      <c r="F21" s="3">
        <v>119</v>
      </c>
      <c r="G21" s="3">
        <f t="shared" si="0"/>
        <v>120.06186865929411</v>
      </c>
      <c r="H21" s="3">
        <f t="shared" si="1"/>
        <v>1.1275650495910623</v>
      </c>
    </row>
    <row r="22" spans="5:8" x14ac:dyDescent="0.4">
      <c r="E22" s="3">
        <v>50000</v>
      </c>
      <c r="F22" s="3">
        <v>135</v>
      </c>
      <c r="G22" s="3">
        <f t="shared" si="0"/>
        <v>133.169085022698</v>
      </c>
      <c r="H22" s="3">
        <f t="shared" si="1"/>
        <v>3.3522496541087872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市町村データ振分け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jc-21</dc:creator>
  <cp:lastModifiedBy>Hiroshi Yamada</cp:lastModifiedBy>
  <dcterms:created xsi:type="dcterms:W3CDTF">2015-06-05T18:17:20Z</dcterms:created>
  <dcterms:modified xsi:type="dcterms:W3CDTF">2025-02-10T08:05:20Z</dcterms:modified>
</cp:coreProperties>
</file>